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 2026" sheetId="2" r:id="rId6"/>
  </sheets>
  <definedNames/>
  <calcPr/>
</workbook>
</file>

<file path=xl/sharedStrings.xml><?xml version="1.0" encoding="utf-8"?>
<sst xmlns="http://schemas.openxmlformats.org/spreadsheetml/2006/main" count="166" uniqueCount="43">
  <si>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</si>
  <si>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</si>
  <si>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</si>
  <si>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</si>
  <si>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</si>
  <si>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</si>
  <si>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</si>
  <si>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</si>
  <si>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</si>
  <si>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</si>
  <si>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</si>
  <si>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</si>
  <si>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</si>
  <si>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</si>
  <si>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</si>
  <si>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</si>
  <si>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</si>
  <si>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</si>
  <si>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</si>
  <si>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</si>
  <si>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</si>
  <si>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</si>
  <si>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</si>
  <si>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</si>
  <si>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</si>
  <si>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</si>
  <si>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</si>
  <si>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</si>
  <si>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</si>
  <si>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</si>
  <si>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 + softwares</t>
  </si>
  <si>
    <t xml:space="preserve">3rd Party Softwares </t>
  </si>
  <si>
    <t>Virtual Assistant(s)</t>
  </si>
  <si>
    <t>Email Agency</t>
  </si>
  <si>
    <t>discounts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</si>
  <si>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</si>
  <si>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</si>
  <si>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</si>
  <si>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</si>
  <si>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</si>
  <si>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</si>
  <si>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</si>
  <si>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(Klaviyo, TripleWhale) + sofwares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</si>
</sst>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11">
    <font>
      <sz val="10.0"/>
      <color rgb="FF000000"/>
      <name val="Arial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6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shrinkToFit="0" wrapText="0"/>
    </xf>
    <xf borderId="0" fillId="0" fontId="7" numFmtId="164" xfId="0" applyAlignment="1" applyFont="1" applyNumberFormat="1">
      <alignment horizontal="right" readingOrder="0"/>
    </xf>
    <xf borderId="0" fillId="0" fontId="6" numFmtId="164" xfId="0" applyAlignment="1" applyFont="1" applyNumberFormat="1">
      <alignment horizontal="right" readingOrder="0"/>
    </xf>
    <xf borderId="0" fillId="3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7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3" fontId="8" numFmtId="0" xfId="0" applyAlignment="1" applyFont="1">
      <alignment vertical="bottom"/>
    </xf>
    <xf borderId="0" fillId="4" fontId="8" numFmtId="164" xfId="0" applyAlignment="1" applyFill="1" applyFont="1" applyNumberFormat="1">
      <alignment readingOrder="0" shrinkToFit="0" wrapText="0"/>
    </xf>
    <xf borderId="0" fillId="4" fontId="8" numFmtId="164" xfId="0" applyAlignment="1" applyFont="1" applyNumberFormat="1">
      <alignment readingOrder="0" vertical="bottom"/>
    </xf>
    <xf borderId="0" fillId="5" fontId="6" numFmtId="164" xfId="0" applyAlignment="1" applyFill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/>
    </xf>
    <xf borderId="0" fillId="5" fontId="5" numFmtId="164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 vertical="bottom"/>
    </xf>
    <xf borderId="0" fillId="3" fontId="5" numFmtId="164" xfId="0" applyAlignment="1" applyFont="1" applyNumberFormat="1">
      <alignment horizontal="right" readingOrder="0" vertical="bottom"/>
    </xf>
    <xf borderId="0" fillId="3" fontId="9" numFmtId="164" xfId="0" applyAlignment="1" applyFont="1" applyNumberFormat="1">
      <alignment horizontal="right" vertical="bottom"/>
    </xf>
    <xf borderId="0" fillId="3" fontId="9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3" fontId="5" numFmtId="165" xfId="0" applyAlignment="1" applyFont="1" applyNumberFormat="1">
      <alignment horizontal="right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horizontal="right" readingOrder="0"/>
    </xf>
    <xf borderId="0" fillId="5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3" fontId="9" numFmtId="165" xfId="0" applyAlignment="1" applyFont="1" applyNumberFormat="1">
      <alignment horizontal="right" vertical="bottom"/>
    </xf>
    <xf borderId="0" fillId="3" fontId="9" numFmtId="165" xfId="0" applyAlignment="1" applyFont="1" applyNumberFormat="1">
      <alignment horizontal="right" readingOrder="0" vertical="bottom"/>
    </xf>
    <xf borderId="0" fillId="5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3" fontId="8" numFmtId="165" xfId="0" applyAlignment="1" applyFont="1" applyNumberFormat="1">
      <alignment horizontal="right" vertical="bottom"/>
    </xf>
    <xf borderId="0" fillId="3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5" fontId="10" numFmtId="0" xfId="0" applyAlignment="1" applyFont="1">
      <alignment vertical="bottom"/>
    </xf>
    <xf borderId="0" fillId="5" fontId="10" numFmtId="165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'2025'!$A$37:$A$41</c:f>
            </c:strRef>
          </c:cat>
          <c:val>
            <c:numRef>
              <c:f>'2025'!$B$37:$B$41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2026'!$A$37:$A$41</c:f>
            </c:strRef>
          </c:cat>
          <c:val>
            <c:numRef>
              <c:f>' 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6" width="12.63"/>
    <col customWidth="1" min="12" max="12" width="12.5"/>
    <col customWidth="1" min="14" max="14" width="21.2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5"/>
      <c r="J5" s="16"/>
      <c r="K5" s="15"/>
      <c r="L5" s="14">
        <f>3500</f>
        <v>3500</v>
      </c>
      <c r="M5" s="14">
        <f>10400</f>
        <v>10400</v>
      </c>
      <c r="N5" s="17">
        <f t="shared" ref="N5:N8" si="1">SUM(B5:M5)</f>
        <v>13900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/>
      <c r="C6" s="12"/>
      <c r="D6" s="13"/>
      <c r="E6" s="12"/>
      <c r="F6" s="13"/>
      <c r="G6" s="12"/>
      <c r="H6" s="14"/>
      <c r="I6" s="14"/>
      <c r="J6" s="19"/>
      <c r="K6" s="20"/>
      <c r="L6" s="14">
        <v>0.0</v>
      </c>
      <c r="M6" s="14">
        <f>252</f>
        <v>252</v>
      </c>
      <c r="N6" s="17">
        <f t="shared" si="1"/>
        <v>252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0</v>
      </c>
      <c r="C8" s="23">
        <f t="shared" si="2"/>
        <v>0</v>
      </c>
      <c r="D8" s="23">
        <f t="shared" si="2"/>
        <v>0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3500</v>
      </c>
      <c r="M8" s="23">
        <f t="shared" si="2"/>
        <v>10148</v>
      </c>
      <c r="N8" s="24">
        <f t="shared" si="1"/>
        <v>13648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/>
      <c r="C12" s="25"/>
      <c r="D12" s="25"/>
      <c r="E12" s="25"/>
      <c r="F12" s="25"/>
      <c r="G12" s="25"/>
      <c r="H12" s="26"/>
      <c r="I12" s="25"/>
      <c r="J12" s="25"/>
      <c r="K12" s="27"/>
      <c r="L12" s="13">
        <f>870</f>
        <v>870</v>
      </c>
      <c r="M12" s="28">
        <f>2600</f>
        <v>2600</v>
      </c>
      <c r="N12" s="29">
        <f t="shared" ref="N12:N13" si="4">SUM(B12:M12)</f>
        <v>3470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0</v>
      </c>
      <c r="C13" s="30">
        <f t="shared" si="3"/>
        <v>0</v>
      </c>
      <c r="D13" s="30">
        <f t="shared" si="3"/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2630</v>
      </c>
      <c r="M13" s="30">
        <f t="shared" si="3"/>
        <v>7548</v>
      </c>
      <c r="N13" s="31">
        <f t="shared" si="4"/>
        <v>10178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/>
      <c r="C18" s="20"/>
      <c r="D18" s="20"/>
      <c r="E18" s="20"/>
      <c r="F18" s="20"/>
      <c r="G18" s="20"/>
      <c r="H18" s="20"/>
      <c r="I18" s="20"/>
      <c r="J18" s="20"/>
      <c r="K18" s="27"/>
      <c r="L18" s="13">
        <f>1850</f>
        <v>1850</v>
      </c>
      <c r="M18" s="13">
        <f>3800</f>
        <v>3800</v>
      </c>
      <c r="N18" s="33">
        <f t="shared" si="5"/>
        <v>5650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3"/>
      <c r="M19" s="13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/>
      <c r="C22" s="20"/>
      <c r="D22" s="20"/>
      <c r="E22" s="20"/>
      <c r="F22" s="37"/>
      <c r="G22" s="37"/>
      <c r="H22" s="37"/>
      <c r="I22" s="38"/>
      <c r="J22" s="37"/>
      <c r="K22" s="37"/>
      <c r="L22" s="37">
        <f>70</f>
        <v>70</v>
      </c>
      <c r="M22" s="37">
        <f>208</f>
        <v>208</v>
      </c>
      <c r="N22" s="33">
        <f t="shared" si="5"/>
        <v>278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29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>
        <f t="shared" ref="L24:M24" si="6">1</f>
        <v>1</v>
      </c>
      <c r="M24" s="39">
        <f t="shared" si="6"/>
        <v>1</v>
      </c>
      <c r="N24" s="33">
        <f t="shared" si="5"/>
        <v>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7"/>
      <c r="L25" s="13"/>
      <c r="M25" s="13">
        <f>100</f>
        <v>100</v>
      </c>
      <c r="N25" s="33">
        <f t="shared" si="5"/>
        <v>100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>
        <f>100</f>
        <v>100</v>
      </c>
      <c r="M27" s="20">
        <f>200</f>
        <v>200</v>
      </c>
      <c r="N27" s="33">
        <f t="shared" si="5"/>
        <v>300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34</v>
      </c>
      <c r="B29" s="37"/>
      <c r="C29" s="37"/>
      <c r="D29" s="37"/>
      <c r="E29" s="37"/>
      <c r="F29" s="37"/>
      <c r="G29" s="37"/>
      <c r="H29" s="37"/>
      <c r="I29" s="38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35</v>
      </c>
      <c r="B30" s="42">
        <f t="shared" ref="B30:M30" si="7">SUM(B17:B29)</f>
        <v>0</v>
      </c>
      <c r="C30" s="42">
        <f t="shared" si="7"/>
        <v>0</v>
      </c>
      <c r="D30" s="42">
        <f t="shared" si="7"/>
        <v>0</v>
      </c>
      <c r="E30" s="42">
        <f t="shared" si="7"/>
        <v>0</v>
      </c>
      <c r="F30" s="42">
        <f t="shared" si="7"/>
        <v>0</v>
      </c>
      <c r="G30" s="42">
        <f t="shared" si="7"/>
        <v>0</v>
      </c>
      <c r="H30" s="42">
        <f t="shared" si="7"/>
        <v>0</v>
      </c>
      <c r="I30" s="42">
        <f t="shared" si="7"/>
        <v>0</v>
      </c>
      <c r="J30" s="42">
        <f t="shared" si="7"/>
        <v>0</v>
      </c>
      <c r="K30" s="42">
        <f t="shared" si="7"/>
        <v>0</v>
      </c>
      <c r="L30" s="42">
        <f t="shared" si="7"/>
        <v>2021</v>
      </c>
      <c r="M30" s="42">
        <f t="shared" si="7"/>
        <v>4309</v>
      </c>
      <c r="N30" s="43">
        <f t="shared" si="5"/>
        <v>6330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38</v>
      </c>
      <c r="B33" s="46">
        <f t="shared" ref="B33:M33" si="8">MINUS(B13,B30)</f>
        <v>0</v>
      </c>
      <c r="C33" s="46">
        <f t="shared" si="8"/>
        <v>0</v>
      </c>
      <c r="D33" s="46">
        <f t="shared" si="8"/>
        <v>0</v>
      </c>
      <c r="E33" s="46">
        <f t="shared" si="8"/>
        <v>0</v>
      </c>
      <c r="F33" s="46">
        <f t="shared" si="8"/>
        <v>0</v>
      </c>
      <c r="G33" s="46">
        <f t="shared" si="8"/>
        <v>0</v>
      </c>
      <c r="H33" s="46">
        <f t="shared" si="8"/>
        <v>0</v>
      </c>
      <c r="I33" s="46">
        <f t="shared" si="8"/>
        <v>0</v>
      </c>
      <c r="J33" s="46">
        <f t="shared" si="8"/>
        <v>0</v>
      </c>
      <c r="K33" s="46">
        <f t="shared" si="8"/>
        <v>0</v>
      </c>
      <c r="L33" s="46">
        <f t="shared" si="8"/>
        <v>609</v>
      </c>
      <c r="M33" s="46">
        <f t="shared" si="8"/>
        <v>3239</v>
      </c>
      <c r="N33" s="47">
        <f>SUM(B33:M33)</f>
        <v>3848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0">
        <f>SUM(N18)</f>
        <v>5650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6" width="12.63"/>
    <col customWidth="1" min="12" max="12" width="12.5"/>
    <col customWidth="1" min="14" max="14" width="21.2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2026.0</v>
      </c>
      <c r="C3" s="7">
        <v>2026.0</v>
      </c>
      <c r="D3" s="7">
        <v>2026.0</v>
      </c>
      <c r="E3" s="7">
        <v>2026.0</v>
      </c>
      <c r="F3" s="7">
        <v>2026.0</v>
      </c>
      <c r="G3" s="7">
        <v>2026.0</v>
      </c>
      <c r="H3" s="7">
        <v>2026.0</v>
      </c>
      <c r="I3" s="7">
        <v>2026.0</v>
      </c>
      <c r="J3" s="7">
        <v>2026.0</v>
      </c>
      <c r="K3" s="7">
        <v>2026.0</v>
      </c>
      <c r="L3" s="7">
        <v>2026.0</v>
      </c>
      <c r="M3" s="7">
        <v>2026.0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f>12150</f>
        <v>12150</v>
      </c>
      <c r="C5" s="12">
        <f>21400</f>
        <v>21400</v>
      </c>
      <c r="D5" s="13">
        <f>24500</f>
        <v>24500</v>
      </c>
      <c r="E5" s="12"/>
      <c r="F5" s="12"/>
      <c r="G5" s="14"/>
      <c r="H5" s="15"/>
      <c r="I5" s="15"/>
      <c r="J5" s="16"/>
      <c r="K5" s="15"/>
      <c r="L5" s="14"/>
      <c r="M5" s="14"/>
      <c r="N5" s="17">
        <f t="shared" ref="N5:N8" si="1">SUM(B5:M5)</f>
        <v>58050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8" t="s">
        <v>15</v>
      </c>
      <c r="B6" s="11">
        <f>975</f>
        <v>975</v>
      </c>
      <c r="C6" s="12">
        <f>1730</f>
        <v>1730</v>
      </c>
      <c r="D6" s="13">
        <f>1851</f>
        <v>1851</v>
      </c>
      <c r="E6" s="12"/>
      <c r="F6" s="13"/>
      <c r="G6" s="12"/>
      <c r="H6" s="14"/>
      <c r="I6" s="14"/>
      <c r="J6" s="19"/>
      <c r="K6" s="20"/>
      <c r="L6" s="14"/>
      <c r="M6" s="14"/>
      <c r="N6" s="17">
        <f t="shared" si="1"/>
        <v>4556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8" t="s">
        <v>16</v>
      </c>
      <c r="B7" s="21"/>
      <c r="C7" s="21">
        <f>340</f>
        <v>340</v>
      </c>
      <c r="D7" s="21">
        <f>300</f>
        <v>300</v>
      </c>
      <c r="E7" s="21"/>
      <c r="F7" s="21"/>
      <c r="G7" s="21"/>
      <c r="H7" s="21"/>
      <c r="I7" s="21"/>
      <c r="J7" s="21"/>
      <c r="K7" s="21"/>
      <c r="L7" s="21"/>
      <c r="M7" s="21"/>
      <c r="N7" s="17">
        <f t="shared" si="1"/>
        <v>640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2" t="s">
        <v>17</v>
      </c>
      <c r="B8" s="23">
        <f t="shared" ref="B8:M8" si="2">B5-B6-B7</f>
        <v>11175</v>
      </c>
      <c r="C8" s="23">
        <f t="shared" si="2"/>
        <v>19330</v>
      </c>
      <c r="D8" s="23">
        <f t="shared" si="2"/>
        <v>22349</v>
      </c>
      <c r="E8" s="23">
        <f t="shared" si="2"/>
        <v>0</v>
      </c>
      <c r="F8" s="23">
        <f t="shared" si="2"/>
        <v>0</v>
      </c>
      <c r="G8" s="23">
        <f t="shared" si="2"/>
        <v>0</v>
      </c>
      <c r="H8" s="23">
        <f t="shared" si="2"/>
        <v>0</v>
      </c>
      <c r="I8" s="23">
        <f t="shared" si="2"/>
        <v>0</v>
      </c>
      <c r="J8" s="23">
        <f t="shared" si="2"/>
        <v>0</v>
      </c>
      <c r="K8" s="23">
        <f t="shared" si="2"/>
        <v>0</v>
      </c>
      <c r="L8" s="23">
        <f t="shared" si="2"/>
        <v>0</v>
      </c>
      <c r="M8" s="23">
        <f t="shared" si="2"/>
        <v>0</v>
      </c>
      <c r="N8" s="24">
        <f t="shared" si="1"/>
        <v>52854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2026.0</v>
      </c>
      <c r="I10" s="7">
        <v>2026.0</v>
      </c>
      <c r="J10" s="7">
        <v>2026.0</v>
      </c>
      <c r="K10" s="7">
        <v>2026.0</v>
      </c>
      <c r="L10" s="7">
        <v>2026.0</v>
      </c>
      <c r="M10" s="7">
        <v>2026.0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 t="s">
        <v>19</v>
      </c>
      <c r="B12" s="25">
        <f>3125</f>
        <v>3125</v>
      </c>
      <c r="C12" s="25">
        <f>5350</f>
        <v>5350</v>
      </c>
      <c r="D12" s="25">
        <f>6125</f>
        <v>6125</v>
      </c>
      <c r="E12" s="25"/>
      <c r="F12" s="25"/>
      <c r="G12" s="25"/>
      <c r="H12" s="26"/>
      <c r="I12" s="25"/>
      <c r="J12" s="25"/>
      <c r="K12" s="27"/>
      <c r="L12" s="13"/>
      <c r="M12" s="28"/>
      <c r="N12" s="29">
        <f t="shared" ref="N12:N13" si="4">SUM(B12:M12)</f>
        <v>14600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2" t="s">
        <v>20</v>
      </c>
      <c r="B13" s="30">
        <f t="shared" ref="B13:M13" si="3">B8-B12</f>
        <v>8050</v>
      </c>
      <c r="C13" s="30">
        <f t="shared" si="3"/>
        <v>13980</v>
      </c>
      <c r="D13" s="30">
        <f t="shared" si="3"/>
        <v>16224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31">
        <f t="shared" si="4"/>
        <v>38254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2" t="s">
        <v>22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20">
        <f>4165</f>
        <v>4165</v>
      </c>
      <c r="C18" s="20">
        <f>7350</f>
        <v>7350</v>
      </c>
      <c r="D18" s="20">
        <f>10400</f>
        <v>10400</v>
      </c>
      <c r="E18" s="20"/>
      <c r="F18" s="20"/>
      <c r="G18" s="20"/>
      <c r="H18" s="20"/>
      <c r="I18" s="20"/>
      <c r="J18" s="20"/>
      <c r="K18" s="27"/>
      <c r="L18" s="13"/>
      <c r="M18" s="13"/>
      <c r="N18" s="33">
        <f t="shared" si="5"/>
        <v>21915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7"/>
      <c r="L19" s="13"/>
      <c r="M19" s="13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20">
        <f>250</f>
        <v>250</v>
      </c>
      <c r="C22" s="20">
        <f>535</f>
        <v>535</v>
      </c>
      <c r="D22" s="20">
        <f>612</f>
        <v>612</v>
      </c>
      <c r="E22" s="20"/>
      <c r="F22" s="37"/>
      <c r="G22" s="37"/>
      <c r="H22" s="37"/>
      <c r="I22" s="38"/>
      <c r="J22" s="37"/>
      <c r="K22" s="37"/>
      <c r="L22" s="37"/>
      <c r="M22" s="37"/>
      <c r="N22" s="33">
        <f t="shared" si="5"/>
        <v>1397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2" t="s">
        <v>28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39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2" t="s">
        <v>29</v>
      </c>
      <c r="B24" s="20">
        <f>1</f>
        <v>1</v>
      </c>
      <c r="C24" s="20">
        <f>35</f>
        <v>35</v>
      </c>
      <c r="D24" s="20"/>
      <c r="E24" s="20"/>
      <c r="F24" s="20"/>
      <c r="G24" s="20"/>
      <c r="H24" s="20"/>
      <c r="I24" s="20"/>
      <c r="J24" s="20"/>
      <c r="K24" s="20"/>
      <c r="L24" s="20"/>
      <c r="M24" s="39"/>
      <c r="N24" s="33">
        <f t="shared" si="5"/>
        <v>36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2" t="s">
        <v>42</v>
      </c>
      <c r="B25" s="20">
        <f t="shared" ref="B25:C25" si="6">200</f>
        <v>200</v>
      </c>
      <c r="C25" s="20">
        <f t="shared" si="6"/>
        <v>200</v>
      </c>
      <c r="D25" s="20">
        <f>100</f>
        <v>100</v>
      </c>
      <c r="E25" s="20"/>
      <c r="F25" s="20"/>
      <c r="G25" s="20"/>
      <c r="H25" s="20"/>
      <c r="I25" s="20"/>
      <c r="J25" s="20"/>
      <c r="K25" s="27"/>
      <c r="L25" s="13"/>
      <c r="M25" s="13"/>
      <c r="N25" s="33">
        <f t="shared" si="5"/>
        <v>500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0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20">
        <f>150</f>
        <v>150</v>
      </c>
      <c r="C27" s="20">
        <f t="shared" ref="C27:D27" si="7">300</f>
        <v>300</v>
      </c>
      <c r="D27" s="20">
        <f t="shared" si="7"/>
        <v>300</v>
      </c>
      <c r="E27" s="20"/>
      <c r="F27" s="20"/>
      <c r="G27" s="20"/>
      <c r="H27" s="20"/>
      <c r="I27" s="20"/>
      <c r="J27" s="20"/>
      <c r="K27" s="20"/>
      <c r="L27" s="20"/>
      <c r="M27" s="20"/>
      <c r="N27" s="33">
        <f t="shared" si="5"/>
        <v>750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1" t="s">
        <v>34</v>
      </c>
      <c r="B29" s="37">
        <f>700</f>
        <v>700</v>
      </c>
      <c r="C29" s="37">
        <f>950</f>
        <v>950</v>
      </c>
      <c r="D29" s="37">
        <f>1150</f>
        <v>1150</v>
      </c>
      <c r="E29" s="37"/>
      <c r="F29" s="37"/>
      <c r="G29" s="37"/>
      <c r="H29" s="37"/>
      <c r="I29" s="38"/>
      <c r="J29" s="37"/>
      <c r="K29" s="37"/>
      <c r="L29" s="37"/>
      <c r="M29" s="37"/>
      <c r="N29" s="33">
        <f t="shared" si="5"/>
        <v>2800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2" t="s">
        <v>35</v>
      </c>
      <c r="B30" s="42">
        <f t="shared" ref="B30:M30" si="8">SUM(B17:B29)</f>
        <v>5466</v>
      </c>
      <c r="C30" s="42">
        <f t="shared" si="8"/>
        <v>9370</v>
      </c>
      <c r="D30" s="42">
        <f t="shared" si="8"/>
        <v>12562</v>
      </c>
      <c r="E30" s="42">
        <f t="shared" si="8"/>
        <v>0</v>
      </c>
      <c r="F30" s="42">
        <f t="shared" si="8"/>
        <v>0</v>
      </c>
      <c r="G30" s="42">
        <f t="shared" si="8"/>
        <v>0</v>
      </c>
      <c r="H30" s="42">
        <f t="shared" si="8"/>
        <v>0</v>
      </c>
      <c r="I30" s="42">
        <f t="shared" si="8"/>
        <v>0</v>
      </c>
      <c r="J30" s="42">
        <f t="shared" si="8"/>
        <v>0</v>
      </c>
      <c r="K30" s="42">
        <f t="shared" si="8"/>
        <v>0</v>
      </c>
      <c r="L30" s="42">
        <f t="shared" si="8"/>
        <v>0</v>
      </c>
      <c r="M30" s="42">
        <f t="shared" si="8"/>
        <v>0</v>
      </c>
      <c r="N30" s="43">
        <f t="shared" si="5"/>
        <v>27398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4"/>
      <c r="F31" s="44"/>
      <c r="G31" s="44"/>
      <c r="H31" s="44"/>
      <c r="I31" s="44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5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2" t="s">
        <v>38</v>
      </c>
      <c r="B33" s="46">
        <f t="shared" ref="B33:M33" si="9">MINUS(B13,B30)</f>
        <v>2584</v>
      </c>
      <c r="C33" s="46">
        <f t="shared" si="9"/>
        <v>4610</v>
      </c>
      <c r="D33" s="46">
        <f t="shared" si="9"/>
        <v>3662</v>
      </c>
      <c r="E33" s="46">
        <f t="shared" si="9"/>
        <v>0</v>
      </c>
      <c r="F33" s="46">
        <f t="shared" si="9"/>
        <v>0</v>
      </c>
      <c r="G33" s="46">
        <f t="shared" si="9"/>
        <v>0</v>
      </c>
      <c r="H33" s="46">
        <f t="shared" si="9"/>
        <v>0</v>
      </c>
      <c r="I33" s="46">
        <f t="shared" si="9"/>
        <v>0</v>
      </c>
      <c r="J33" s="46">
        <f t="shared" si="9"/>
        <v>0</v>
      </c>
      <c r="K33" s="46">
        <f t="shared" si="9"/>
        <v>0</v>
      </c>
      <c r="L33" s="46">
        <f t="shared" si="9"/>
        <v>0</v>
      </c>
      <c r="M33" s="46">
        <f t="shared" si="9"/>
        <v>0</v>
      </c>
      <c r="N33" s="47">
        <f>SUM(B33:M33)</f>
        <v>10856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9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5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50">
        <f>SUM(N18)</f>
        <v>21915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1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5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5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5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4"/>
      <c r="B47" s="5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4"/>
      <c r="B48" s="5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4"/>
      <c r="B50" s="5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4"/>
      <c r="B51" s="5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