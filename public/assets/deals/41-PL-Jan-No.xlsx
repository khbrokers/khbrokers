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6" sheetId="3" r:id="rId7"/>
  </sheets>
  <definedNames/>
  <calcPr/>
</workbook>
</file>

<file path=xl/sharedStrings.xml><?xml version="1.0" encoding="utf-8"?>
<sst xmlns="http://schemas.openxmlformats.org/spreadsheetml/2006/main" count="296" uniqueCount="55">
  <si>
    <t>P/L [NOVARA] 2024-25</t>
  </si>
  <si>
    <t>2025</t>
  </si>
  <si>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</si>
  <si>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</si>
  <si>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</si>
  <si>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</si>
  <si>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</si>
  <si>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</si>
  <si>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</si>
  <si>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</si>
  <si>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</si>
  <si>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</si>
  <si>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</si>
  <si>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</si>
  <si>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</si>
  <si>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</si>
  <si>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</si>
  <si>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</si>
  <si>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</si>
  <si>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</si>
  <si>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</si>
  <si>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</si>
  <si>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</si>
  <si>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</si>
  <si>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</si>
  <si>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</si>
  <si>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</si>
  <si>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</si>
  <si>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</si>
  <si>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</si>
  <si>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</si>
  <si>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</si>
  <si>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</si>
  <si>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>Meta ad agency</t>
  </si>
  <si>
    <t>Google ad Agency</t>
  </si>
  <si>
    <t>Virtual Assistant(s)</t>
  </si>
  <si>
    <t>Email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</si>
  <si>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</si>
  <si>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</si>
  <si>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</si>
  <si>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</si>
  <si>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</si>
  <si>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</si>
  <si>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</si>
  <si>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‎ £‎ 1,207.67</t>
  </si>
  <si>
    <t>£‎ 1,987.59</t>
  </si>
  <si>
    <t>‎ £6,952.19</t>
  </si>
  <si>
    <t>£‎ 16,421.99</t>
  </si>
  <si>
    <t>£‎ 26,850.63</t>
  </si>
  <si>
    <t xml:space="preserve">3rd Party Softwares </t>
  </si>
  <si>
    <t>Google agency</t>
  </si>
  <si>
    <t>*ADD MORE ROWS IF NEEDED*</t>
  </si>
  <si>
    <t>*COGS not fully complete yet*</t>
  </si>
  <si>
    <t>£‎ 11,335.2</t>
  </si>
  <si>
    <t>Meta agency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</si>
</sst>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]#,##0.00"/>
    <numFmt numFmtId="165" formatCode="&quot;£&quot;#,##0.00"/>
  </numFmts>
  <fonts count="13">
    <font>
      <sz val="10.0"/>
      <color rgb="FF000000"/>
      <name val="Calibri"/>
      <scheme val="minor"/>
    </font>
    <font>
      <b/>
      <sz val="12.0"/>
      <color rgb="FF680D6A"/>
      <name val="Montserrat"/>
    </font>
    <font>
      <color theme="1"/>
      <name val="Montserrat"/>
    </font>
    <font>
      <i/>
      <u/>
      <color theme="1"/>
      <name val="Montserrat"/>
    </font>
    <font>
      <sz val="10.0"/>
      <color rgb="FF000000"/>
      <name val="Montserrat"/>
    </font>
    <font>
      <b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303030"/>
      <name val="Montserrat"/>
    </font>
    <font>
      <color theme="1"/>
      <name val="Arial"/>
    </font>
    <font>
      <b/>
      <sz val="10.0"/>
      <color theme="1"/>
      <name val="Montserrat"/>
    </font>
    <font>
      <color rgb="FF000000"/>
      <name val="Montserrat"/>
    </font>
    <font>
      <b/>
      <sz val="12.0"/>
      <color rgb="FFFF99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2" numFmtId="164" xfId="0" applyFont="1" applyNumberFormat="1"/>
    <xf borderId="0" fillId="0" fontId="2" numFmtId="0" xfId="0" applyFont="1"/>
    <xf borderId="0" fillId="0" fontId="3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5" numFmtId="49" xfId="0" applyAlignment="1" applyFont="1" applyNumberFormat="1">
      <alignment readingOrder="0"/>
    </xf>
    <xf borderId="0" fillId="0" fontId="2" numFmtId="49" xfId="0" applyFont="1" applyNumberFormat="1"/>
    <xf borderId="0" fillId="2" fontId="6" numFmtId="164" xfId="0" applyAlignment="1" applyFill="1" applyFont="1" applyNumberFormat="1">
      <alignment vertical="bottom"/>
    </xf>
    <xf borderId="0" fillId="2" fontId="6" numFmtId="164" xfId="0" applyAlignment="1" applyFont="1" applyNumberFormat="1">
      <alignment readingOrder="0"/>
    </xf>
    <xf borderId="0" fillId="2" fontId="6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readingOrder="0" shrinkToFit="0" wrapText="0"/>
    </xf>
    <xf borderId="0" fillId="0" fontId="7" numFmtId="164" xfId="0" applyAlignment="1" applyFont="1" applyNumberFormat="1">
      <alignment readingOrder="0"/>
    </xf>
    <xf borderId="0" fillId="0" fontId="8" numFmtId="164" xfId="0" applyAlignment="1" applyFont="1" applyNumberFormat="1">
      <alignment horizontal="right" readingOrder="0" shrinkToFit="0" wrapText="0"/>
    </xf>
    <xf borderId="0" fillId="0" fontId="8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3" fontId="7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readingOrder="0" shrinkToFit="0" wrapText="0"/>
    </xf>
    <xf borderId="0" fillId="0" fontId="7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wrapText="0"/>
    </xf>
    <xf borderId="0" fillId="3" fontId="5" numFmtId="164" xfId="0" applyAlignment="1" applyFont="1" applyNumberFormat="1">
      <alignment vertical="bottom"/>
    </xf>
    <xf borderId="0" fillId="4" fontId="5" numFmtId="164" xfId="0" applyAlignment="1" applyFill="1" applyFont="1" applyNumberFormat="1">
      <alignment readingOrder="0" shrinkToFit="0" wrapText="0"/>
    </xf>
    <xf borderId="0" fillId="4" fontId="5" numFmtId="164" xfId="0" applyAlignment="1" applyFont="1" applyNumberFormat="1">
      <alignment readingOrder="0" vertical="bottom"/>
    </xf>
    <xf borderId="0" fillId="0" fontId="2" numFmtId="49" xfId="0" applyAlignment="1" applyFont="1" applyNumberFormat="1">
      <alignment readingOrder="0"/>
    </xf>
    <xf borderId="0" fillId="5" fontId="4" numFmtId="164" xfId="0" applyAlignment="1" applyFill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/>
    </xf>
    <xf borderId="0" fillId="0" fontId="9" numFmtId="165" xfId="0" applyAlignment="1" applyFont="1" applyNumberFormat="1">
      <alignment horizontal="right" readingOrder="0" vertical="bottom"/>
    </xf>
    <xf borderId="0" fillId="3" fontId="7" numFmtId="164" xfId="0" applyAlignment="1" applyFont="1" applyNumberFormat="1">
      <alignment horizontal="right" readingOrder="0" vertical="bottom"/>
    </xf>
    <xf borderId="0" fillId="3" fontId="10" numFmtId="164" xfId="0" applyAlignment="1" applyFont="1" applyNumberFormat="1">
      <alignment horizontal="right" vertical="bottom"/>
    </xf>
    <xf borderId="0" fillId="3" fontId="10" numFmtId="164" xfId="0" applyAlignment="1" applyFont="1" applyNumberFormat="1">
      <alignment readingOrder="0" vertical="bottom"/>
    </xf>
    <xf borderId="0" fillId="0" fontId="7" numFmtId="164" xfId="0" applyAlignment="1" applyFont="1" applyNumberFormat="1">
      <alignment readingOrder="0" vertical="bottom"/>
    </xf>
    <xf borderId="0" fillId="3" fontId="7" numFmtId="164" xfId="0" applyAlignment="1" applyFont="1" applyNumberFormat="1">
      <alignment horizontal="right" vertical="bottom"/>
    </xf>
    <xf borderId="0" fillId="0" fontId="7" numFmtId="164" xfId="0" applyFont="1" applyNumberFormat="1"/>
    <xf borderId="0" fillId="5" fontId="7" numFmtId="164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vertical="bottom"/>
    </xf>
    <xf borderId="0" fillId="0" fontId="7" numFmtId="164" xfId="0" applyAlignment="1" applyFont="1" applyNumberFormat="1">
      <alignment horizontal="right" readingOrder="0"/>
    </xf>
    <xf borderId="0" fillId="5" fontId="8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 vertical="bottom"/>
    </xf>
    <xf borderId="0" fillId="3" fontId="10" numFmtId="164" xfId="0" applyAlignment="1" applyFont="1" applyNumberFormat="1">
      <alignment horizontal="right" readingOrder="0" vertical="bottom"/>
    </xf>
    <xf borderId="0" fillId="5" fontId="2" numFmtId="164" xfId="0" applyAlignment="1" applyFont="1" applyNumberFormat="1">
      <alignment vertical="bottom"/>
    </xf>
    <xf borderId="0" fillId="2" fontId="6" numFmtId="164" xfId="0" applyAlignment="1" applyFont="1" applyNumberFormat="1">
      <alignment horizontal="right" readingOrder="0" vertical="bottom"/>
    </xf>
    <xf borderId="0" fillId="3" fontId="5" numFmtId="164" xfId="0" applyAlignment="1" applyFont="1" applyNumberFormat="1">
      <alignment horizontal="right" vertical="bottom"/>
    </xf>
    <xf borderId="0" fillId="3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2" fontId="6" numFmtId="164" xfId="0" applyFont="1" applyNumberFormat="1"/>
    <xf borderId="0" fillId="5" fontId="11" numFmtId="164" xfId="0" applyAlignment="1" applyFont="1" applyNumberFormat="1">
      <alignment vertical="bottom"/>
    </xf>
    <xf borderId="0" fillId="5" fontId="11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0" fontId="12" numFmtId="164" xfId="0" applyAlignment="1" applyFont="1" applyNumberFormat="1">
      <alignment horizontal="left" readingOrder="0"/>
    </xf>
    <xf borderId="0" fillId="0" fontId="2" numFmtId="0" xfId="0" applyAlignment="1" applyFont="1">
      <alignment horizontal="right" vertical="bottom"/>
    </xf>
    <xf borderId="0" fillId="0" fontId="7" numFmtId="164" xfId="0" applyAlignment="1" applyFont="1" applyNumberFormat="1">
      <alignment readingOrder="0" vertical="bottom"/>
    </xf>
    <xf borderId="0" fillId="0" fontId="11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'2024'!$A$38:$A$42</c:f>
            </c:strRef>
          </c:cat>
          <c:val>
            <c:numRef>
              <c:f>'2024'!$B$38:$B$42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'2026'!$A$39:$A$43</c:f>
            </c:strRef>
          </c:cat>
          <c:val>
            <c:numRef>
              <c:f>'2026'!$B$39:$B$43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36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37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8"/>
      <c r="B3" s="9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 t="s">
        <v>2</v>
      </c>
      <c r="B4" s="12" t="s">
        <v>3</v>
      </c>
      <c r="C4" s="12" t="s">
        <v>4</v>
      </c>
      <c r="D4" s="12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3" t="s">
        <v>15</v>
      </c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 t="s">
        <v>16</v>
      </c>
      <c r="B5" s="14">
        <v>241153.05</v>
      </c>
      <c r="C5" s="6">
        <v>97068.62</v>
      </c>
      <c r="D5" s="15">
        <v>83749.3</v>
      </c>
      <c r="E5" s="6">
        <v>172673.04</v>
      </c>
      <c r="F5" s="6">
        <v>226715.44</v>
      </c>
      <c r="G5" s="16">
        <v>241232.83</v>
      </c>
      <c r="H5" s="17">
        <v>269207.96</v>
      </c>
      <c r="I5" s="17">
        <v>397186.73</v>
      </c>
      <c r="J5" s="18">
        <v>439799.17</v>
      </c>
      <c r="K5" s="17">
        <v>562838.06</v>
      </c>
      <c r="L5" s="16">
        <v>1239545.83</v>
      </c>
      <c r="M5" s="16">
        <v>907624.23</v>
      </c>
      <c r="N5" s="19">
        <f t="shared" ref="N5:N8" si="1">SUM(B5:M5)</f>
        <v>4878794.26</v>
      </c>
      <c r="O5" s="2"/>
      <c r="P5" s="20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1" t="s">
        <v>17</v>
      </c>
      <c r="B6" s="14">
        <v>5594.68</v>
      </c>
      <c r="C6" s="6">
        <v>4242.28</v>
      </c>
      <c r="D6" s="15">
        <v>673.52</v>
      </c>
      <c r="E6" s="6">
        <v>701.51</v>
      </c>
      <c r="F6" s="15">
        <v>731.53</v>
      </c>
      <c r="G6" s="6">
        <v>1209.65</v>
      </c>
      <c r="H6" s="16">
        <v>1451.0</v>
      </c>
      <c r="I6" s="16">
        <v>2165.73</v>
      </c>
      <c r="J6" s="22">
        <v>2712.32</v>
      </c>
      <c r="K6" s="23">
        <v>2623.76</v>
      </c>
      <c r="L6" s="16">
        <v>4488.19</v>
      </c>
      <c r="M6" s="16">
        <v>5672.32</v>
      </c>
      <c r="N6" s="19">
        <f t="shared" si="1"/>
        <v>32266.49</v>
      </c>
      <c r="O6" s="2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1" t="s">
        <v>18</v>
      </c>
      <c r="B7" s="25">
        <v>835.78</v>
      </c>
      <c r="C7" s="25">
        <v>109.9</v>
      </c>
      <c r="D7" s="25">
        <v>946.99</v>
      </c>
      <c r="E7" s="25">
        <v>946.99</v>
      </c>
      <c r="F7" s="25">
        <v>1919.76</v>
      </c>
      <c r="G7" s="25">
        <v>4690.4</v>
      </c>
      <c r="H7" s="25">
        <v>1980.9256</v>
      </c>
      <c r="I7" s="25">
        <v>4168.36</v>
      </c>
      <c r="J7" s="25">
        <v>5856.83</v>
      </c>
      <c r="K7" s="25">
        <v>4409.14</v>
      </c>
      <c r="L7" s="25">
        <v>8420.94</v>
      </c>
      <c r="M7" s="25">
        <v>3229.26</v>
      </c>
      <c r="N7" s="19">
        <f t="shared" si="1"/>
        <v>37515.2756</v>
      </c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6" t="s">
        <v>19</v>
      </c>
      <c r="B8" s="27">
        <f t="shared" ref="B8:M8" si="2">B5-B6-B7</f>
        <v>234722.59</v>
      </c>
      <c r="C8" s="27">
        <f t="shared" si="2"/>
        <v>92716.44</v>
      </c>
      <c r="D8" s="27">
        <f t="shared" si="2"/>
        <v>82128.79</v>
      </c>
      <c r="E8" s="27">
        <f t="shared" si="2"/>
        <v>171024.54</v>
      </c>
      <c r="F8" s="27">
        <f t="shared" si="2"/>
        <v>224064.15</v>
      </c>
      <c r="G8" s="27">
        <f t="shared" si="2"/>
        <v>235332.78</v>
      </c>
      <c r="H8" s="27">
        <f t="shared" si="2"/>
        <v>265776.0344</v>
      </c>
      <c r="I8" s="27">
        <f t="shared" si="2"/>
        <v>390852.64</v>
      </c>
      <c r="J8" s="27">
        <f t="shared" si="2"/>
        <v>431230.02</v>
      </c>
      <c r="K8" s="27">
        <f t="shared" si="2"/>
        <v>555805.16</v>
      </c>
      <c r="L8" s="27">
        <f t="shared" si="2"/>
        <v>1226636.7</v>
      </c>
      <c r="M8" s="27">
        <f t="shared" si="2"/>
        <v>898722.65</v>
      </c>
      <c r="N8" s="28">
        <f t="shared" si="1"/>
        <v>4809012.494</v>
      </c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S9" s="20"/>
      <c r="T9" s="3"/>
      <c r="U9" s="3"/>
      <c r="V9" s="3"/>
      <c r="W9" s="3"/>
      <c r="X9" s="3"/>
      <c r="Y9" s="3"/>
      <c r="Z9" s="3"/>
    </row>
    <row r="10" ht="15.75" customHeight="1">
      <c r="A10" s="10"/>
      <c r="B10" s="9" t="s">
        <v>1</v>
      </c>
      <c r="C10" s="9" t="s">
        <v>1</v>
      </c>
      <c r="D10" s="9" t="s">
        <v>1</v>
      </c>
      <c r="E10" s="9" t="s">
        <v>1</v>
      </c>
      <c r="F10" s="9" t="s">
        <v>1</v>
      </c>
      <c r="G10" s="9" t="s">
        <v>1</v>
      </c>
      <c r="H10" s="9" t="s">
        <v>1</v>
      </c>
      <c r="I10" s="9" t="s">
        <v>1</v>
      </c>
      <c r="J10" s="9" t="s">
        <v>1</v>
      </c>
      <c r="K10" s="9" t="s">
        <v>1</v>
      </c>
      <c r="L10" s="9" t="s">
        <v>1</v>
      </c>
      <c r="M10" s="9" t="s">
        <v>1</v>
      </c>
      <c r="N10" s="10"/>
      <c r="O10" s="10"/>
      <c r="P10" s="10"/>
      <c r="Q10" s="10"/>
      <c r="R10" s="29"/>
      <c r="S10" s="29"/>
      <c r="T10" s="10"/>
      <c r="U10" s="10"/>
      <c r="V10" s="10"/>
      <c r="W10" s="10"/>
      <c r="X10" s="10"/>
      <c r="Y10" s="10"/>
      <c r="Z10" s="10"/>
    </row>
    <row r="11" ht="15.75" customHeight="1">
      <c r="A11" s="11" t="s">
        <v>20</v>
      </c>
      <c r="B11" s="12" t="s">
        <v>3</v>
      </c>
      <c r="C11" s="12" t="s">
        <v>4</v>
      </c>
      <c r="D11" s="12" t="s">
        <v>5</v>
      </c>
      <c r="E11" s="11" t="s">
        <v>6</v>
      </c>
      <c r="F11" s="11" t="s">
        <v>7</v>
      </c>
      <c r="G11" s="11" t="s">
        <v>8</v>
      </c>
      <c r="H11" s="11" t="s">
        <v>9</v>
      </c>
      <c r="I11" s="11" t="s">
        <v>10</v>
      </c>
      <c r="J11" s="11" t="s">
        <v>11</v>
      </c>
      <c r="K11" s="11" t="s">
        <v>12</v>
      </c>
      <c r="L11" s="11" t="s">
        <v>13</v>
      </c>
      <c r="M11" s="11" t="s">
        <v>14</v>
      </c>
      <c r="N11" s="13" t="s">
        <v>15</v>
      </c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1" t="s">
        <v>21</v>
      </c>
      <c r="B12" s="30">
        <v>86734.65</v>
      </c>
      <c r="C12" s="30">
        <v>27098.35</v>
      </c>
      <c r="D12" s="30">
        <v>20115.62</v>
      </c>
      <c r="E12" s="30">
        <v>14932.2</v>
      </c>
      <c r="F12" s="30">
        <v>63215.39</v>
      </c>
      <c r="G12" s="30">
        <v>81762.93</v>
      </c>
      <c r="H12" s="31">
        <v>86080.19</v>
      </c>
      <c r="I12" s="30">
        <v>109674.05</v>
      </c>
      <c r="J12" s="30">
        <v>155539.78</v>
      </c>
      <c r="K12" s="32">
        <v>173823.76</v>
      </c>
      <c r="L12" s="32">
        <v>332228.29</v>
      </c>
      <c r="M12" s="32">
        <v>311466.81</v>
      </c>
      <c r="N12" s="33">
        <f t="shared" ref="N12:N13" si="4">SUM(B12:M12)</f>
        <v>1462672.02</v>
      </c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6" t="s">
        <v>22</v>
      </c>
      <c r="B13" s="34">
        <f t="shared" ref="B13:M13" si="3">B8-B12</f>
        <v>147987.94</v>
      </c>
      <c r="C13" s="34">
        <f t="shared" si="3"/>
        <v>65618.09</v>
      </c>
      <c r="D13" s="34">
        <f t="shared" si="3"/>
        <v>62013.17</v>
      </c>
      <c r="E13" s="34">
        <f t="shared" si="3"/>
        <v>156092.34</v>
      </c>
      <c r="F13" s="34">
        <f t="shared" si="3"/>
        <v>160848.76</v>
      </c>
      <c r="G13" s="34">
        <f t="shared" si="3"/>
        <v>153569.85</v>
      </c>
      <c r="H13" s="34">
        <f t="shared" si="3"/>
        <v>179695.8444</v>
      </c>
      <c r="I13" s="34">
        <f t="shared" si="3"/>
        <v>281178.59</v>
      </c>
      <c r="J13" s="34">
        <f t="shared" si="3"/>
        <v>275690.24</v>
      </c>
      <c r="K13" s="34">
        <f t="shared" si="3"/>
        <v>381981.4</v>
      </c>
      <c r="L13" s="34">
        <f t="shared" si="3"/>
        <v>894408.41</v>
      </c>
      <c r="M13" s="34">
        <f t="shared" si="3"/>
        <v>587255.84</v>
      </c>
      <c r="N13" s="35">
        <f t="shared" si="4"/>
        <v>3346340.474</v>
      </c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4"/>
      <c r="K14" s="24"/>
      <c r="L14" s="24"/>
      <c r="M14" s="2"/>
      <c r="N14" s="2"/>
      <c r="O14" s="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0"/>
      <c r="B15" s="9" t="s">
        <v>1</v>
      </c>
      <c r="C15" s="9" t="s">
        <v>1</v>
      </c>
      <c r="D15" s="9" t="s">
        <v>1</v>
      </c>
      <c r="E15" s="9" t="s">
        <v>1</v>
      </c>
      <c r="F15" s="9" t="s">
        <v>1</v>
      </c>
      <c r="G15" s="9" t="s">
        <v>1</v>
      </c>
      <c r="H15" s="9" t="s">
        <v>1</v>
      </c>
      <c r="I15" s="9" t="s">
        <v>1</v>
      </c>
      <c r="J15" s="9" t="s">
        <v>1</v>
      </c>
      <c r="K15" s="9" t="s">
        <v>1</v>
      </c>
      <c r="L15" s="9" t="s">
        <v>1</v>
      </c>
      <c r="M15" s="9" t="s">
        <v>1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1" t="s">
        <v>23</v>
      </c>
      <c r="B16" s="12" t="s">
        <v>3</v>
      </c>
      <c r="C16" s="12" t="s">
        <v>4</v>
      </c>
      <c r="D16" s="12" t="s">
        <v>5</v>
      </c>
      <c r="E16" s="11" t="s">
        <v>6</v>
      </c>
      <c r="F16" s="11" t="s">
        <v>7</v>
      </c>
      <c r="G16" s="11" t="s">
        <v>8</v>
      </c>
      <c r="H16" s="11" t="s">
        <v>9</v>
      </c>
      <c r="I16" s="11" t="s">
        <v>10</v>
      </c>
      <c r="J16" s="11" t="s">
        <v>11</v>
      </c>
      <c r="K16" s="11" t="s">
        <v>12</v>
      </c>
      <c r="L16" s="11" t="s">
        <v>13</v>
      </c>
      <c r="M16" s="11" t="s">
        <v>14</v>
      </c>
      <c r="N16" s="13" t="s">
        <v>15</v>
      </c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6" t="s">
        <v>24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37">
        <f t="shared" ref="N17:N30" si="5">SUM(B17:M17)</f>
        <v>0</v>
      </c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25</v>
      </c>
      <c r="B18" s="23">
        <v>30129.73</v>
      </c>
      <c r="C18" s="23">
        <v>15061.87</v>
      </c>
      <c r="D18" s="23">
        <v>10762.06</v>
      </c>
      <c r="E18" s="23">
        <v>12405.62</v>
      </c>
      <c r="F18" s="23">
        <v>17047.74</v>
      </c>
      <c r="G18" s="23">
        <v>23212.11</v>
      </c>
      <c r="H18" s="23">
        <v>26990.69</v>
      </c>
      <c r="I18" s="23">
        <v>33250.16</v>
      </c>
      <c r="J18" s="23">
        <v>33569.07</v>
      </c>
      <c r="K18" s="39">
        <v>56306.86</v>
      </c>
      <c r="L18" s="15">
        <v>176137.65</v>
      </c>
      <c r="M18" s="15">
        <v>194101.03</v>
      </c>
      <c r="N18" s="37">
        <f t="shared" si="5"/>
        <v>628974.59</v>
      </c>
      <c r="O18" s="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5" t="s">
        <v>26</v>
      </c>
      <c r="B19" s="23">
        <v>86899.44</v>
      </c>
      <c r="C19" s="23">
        <v>33504.72</v>
      </c>
      <c r="D19" s="23">
        <v>35697.14</v>
      </c>
      <c r="E19" s="23">
        <v>79069.03</v>
      </c>
      <c r="F19" s="23">
        <v>92320.74</v>
      </c>
      <c r="G19" s="23">
        <v>98819.61</v>
      </c>
      <c r="H19" s="23">
        <v>99098.58</v>
      </c>
      <c r="I19" s="23">
        <v>133221.29</v>
      </c>
      <c r="J19" s="23">
        <v>151123.49</v>
      </c>
      <c r="K19" s="39">
        <v>185654.88</v>
      </c>
      <c r="L19" s="15">
        <v>409251.49</v>
      </c>
      <c r="M19" s="15">
        <v>268388.28</v>
      </c>
      <c r="N19" s="37">
        <f t="shared" si="5"/>
        <v>1673048.69</v>
      </c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27</v>
      </c>
      <c r="B20" s="23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37">
        <f t="shared" si="5"/>
        <v>0</v>
      </c>
      <c r="O20" s="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 t="s">
        <v>28</v>
      </c>
      <c r="B21" s="23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37">
        <f t="shared" si="5"/>
        <v>0</v>
      </c>
      <c r="O21" s="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0" t="s">
        <v>29</v>
      </c>
      <c r="B22" s="23">
        <v>8261.35</v>
      </c>
      <c r="C22" s="23">
        <v>3307.48</v>
      </c>
      <c r="D22" s="23">
        <v>2850.1</v>
      </c>
      <c r="E22" s="23">
        <v>5783.75</v>
      </c>
      <c r="F22" s="23">
        <v>7514.57</v>
      </c>
      <c r="G22" s="23">
        <v>7958.6</v>
      </c>
      <c r="H22" s="23">
        <v>8806.82</v>
      </c>
      <c r="I22" s="23">
        <v>12905.84</v>
      </c>
      <c r="J22" s="23">
        <v>14232.83</v>
      </c>
      <c r="K22" s="23">
        <v>18124.28</v>
      </c>
      <c r="L22" s="23">
        <v>40255.2</v>
      </c>
      <c r="M22" s="23">
        <v>29810.27</v>
      </c>
      <c r="N22" s="37">
        <f t="shared" si="5"/>
        <v>159811.09</v>
      </c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6" t="s">
        <v>30</v>
      </c>
      <c r="B23" s="23">
        <v>0.0</v>
      </c>
      <c r="C23" s="23">
        <v>0.0</v>
      </c>
      <c r="D23" s="23">
        <v>0.0</v>
      </c>
      <c r="E23" s="23">
        <v>307.51</v>
      </c>
      <c r="F23" s="41">
        <v>0.0</v>
      </c>
      <c r="G23" s="41">
        <v>0.0</v>
      </c>
      <c r="H23" s="41">
        <v>466.32</v>
      </c>
      <c r="I23" s="41">
        <v>288.43</v>
      </c>
      <c r="J23" s="41">
        <v>0.0</v>
      </c>
      <c r="K23" s="41">
        <v>1193.84</v>
      </c>
      <c r="L23" s="41">
        <v>1193.84</v>
      </c>
      <c r="M23" s="41">
        <v>1193.84</v>
      </c>
      <c r="N23" s="37">
        <f t="shared" si="5"/>
        <v>4643.78</v>
      </c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 t="s">
        <v>31</v>
      </c>
      <c r="B24" s="23">
        <v>1086.04</v>
      </c>
      <c r="C24" s="23">
        <v>1333.56</v>
      </c>
      <c r="D24" s="23">
        <v>949.27</v>
      </c>
      <c r="E24" s="23">
        <v>969.52</v>
      </c>
      <c r="F24" s="23">
        <v>1217.47</v>
      </c>
      <c r="G24" s="23">
        <v>999.71</v>
      </c>
      <c r="H24" s="23">
        <v>1064.86</v>
      </c>
      <c r="I24" s="23">
        <v>1133.5</v>
      </c>
      <c r="J24" s="23">
        <v>1116.49</v>
      </c>
      <c r="K24" s="23">
        <v>1087.89</v>
      </c>
      <c r="L24" s="23">
        <v>1565.36</v>
      </c>
      <c r="M24" s="42">
        <v>3215.09</v>
      </c>
      <c r="N24" s="37">
        <f t="shared" si="5"/>
        <v>15738.76</v>
      </c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6" t="s">
        <v>32</v>
      </c>
      <c r="B25" s="23">
        <v>770.03</v>
      </c>
      <c r="C25" s="23">
        <v>1020.73</v>
      </c>
      <c r="D25" s="23">
        <v>895.38</v>
      </c>
      <c r="E25" s="23">
        <v>895.38</v>
      </c>
      <c r="F25" s="23">
        <v>1132.66</v>
      </c>
      <c r="G25" s="23">
        <v>1304.27</v>
      </c>
      <c r="H25" s="23">
        <v>1115.49</v>
      </c>
      <c r="I25" s="23">
        <v>1115.49</v>
      </c>
      <c r="J25" s="23">
        <v>1115.49</v>
      </c>
      <c r="K25" s="39">
        <v>1290.84</v>
      </c>
      <c r="L25" s="15">
        <v>1716.14</v>
      </c>
      <c r="M25" s="15">
        <v>1887.76</v>
      </c>
      <c r="N25" s="37">
        <f t="shared" si="5"/>
        <v>14259.66</v>
      </c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3" t="s">
        <v>33</v>
      </c>
      <c r="B26" s="23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3730.75</v>
      </c>
      <c r="J26" s="23">
        <v>5969.2</v>
      </c>
      <c r="K26" s="23">
        <v>5969.2</v>
      </c>
      <c r="L26" s="23">
        <v>7834.57</v>
      </c>
      <c r="M26" s="23">
        <v>5969.2</v>
      </c>
      <c r="N26" s="37">
        <f t="shared" si="5"/>
        <v>29472.92</v>
      </c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3" t="s">
        <v>34</v>
      </c>
      <c r="B27" s="23">
        <v>3652.14</v>
      </c>
      <c r="C27" s="23">
        <v>2673.07</v>
      </c>
      <c r="D27" s="23">
        <v>2390.74</v>
      </c>
      <c r="E27" s="23">
        <v>2017.66</v>
      </c>
      <c r="F27" s="23">
        <v>2071.1</v>
      </c>
      <c r="G27" s="23">
        <v>2712.52</v>
      </c>
      <c r="H27" s="23">
        <v>3038.76</v>
      </c>
      <c r="I27" s="23">
        <v>3114.92</v>
      </c>
      <c r="J27" s="23">
        <v>3507.54</v>
      </c>
      <c r="K27" s="23">
        <v>4402.96</v>
      </c>
      <c r="L27" s="23">
        <v>10028.26</v>
      </c>
      <c r="M27" s="23">
        <v>10446.1</v>
      </c>
      <c r="N27" s="37">
        <f t="shared" si="5"/>
        <v>50055.77</v>
      </c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0" t="s">
        <v>35</v>
      </c>
      <c r="B28" s="23">
        <v>297.72</v>
      </c>
      <c r="C28" s="23">
        <v>297.72</v>
      </c>
      <c r="D28" s="23">
        <v>297.72</v>
      </c>
      <c r="E28" s="23">
        <v>297.72</v>
      </c>
      <c r="F28" s="23">
        <v>297.72</v>
      </c>
      <c r="G28" s="23">
        <v>297.72</v>
      </c>
      <c r="H28" s="23">
        <v>3038.76</v>
      </c>
      <c r="I28" s="23">
        <v>439.12</v>
      </c>
      <c r="J28" s="23">
        <v>312.6</v>
      </c>
      <c r="K28" s="23">
        <v>238.91</v>
      </c>
      <c r="L28" s="23">
        <v>744.27</v>
      </c>
      <c r="M28" s="23">
        <v>855.92</v>
      </c>
      <c r="N28" s="37">
        <f t="shared" si="5"/>
        <v>7415.9</v>
      </c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" t="s">
        <v>36</v>
      </c>
      <c r="B29" s="23">
        <v>0.0</v>
      </c>
      <c r="C29" s="23">
        <v>0.0</v>
      </c>
      <c r="D29" s="23">
        <v>0.0</v>
      </c>
      <c r="E29" s="23">
        <v>0.0</v>
      </c>
      <c r="F29" s="23">
        <v>1200.0</v>
      </c>
      <c r="G29" s="23">
        <v>1024.43</v>
      </c>
      <c r="H29" s="23">
        <v>1018.49</v>
      </c>
      <c r="I29" s="23">
        <v>1044.61</v>
      </c>
      <c r="J29" s="23">
        <v>1500.0</v>
      </c>
      <c r="K29" s="23">
        <v>1059.53</v>
      </c>
      <c r="L29" s="23">
        <v>1059.53</v>
      </c>
      <c r="M29" s="23">
        <v>1059.53</v>
      </c>
      <c r="N29" s="37">
        <f t="shared" si="5"/>
        <v>8966.12</v>
      </c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6" t="s">
        <v>37</v>
      </c>
      <c r="B30" s="34">
        <f t="shared" ref="B30:M30" si="6">SUM(B18:B29)</f>
        <v>131096.45</v>
      </c>
      <c r="C30" s="34">
        <f t="shared" si="6"/>
        <v>57199.15</v>
      </c>
      <c r="D30" s="34">
        <f t="shared" si="6"/>
        <v>53842.41</v>
      </c>
      <c r="E30" s="34">
        <f t="shared" si="6"/>
        <v>101746.19</v>
      </c>
      <c r="F30" s="34">
        <f t="shared" si="6"/>
        <v>122802</v>
      </c>
      <c r="G30" s="34">
        <f t="shared" si="6"/>
        <v>136328.97</v>
      </c>
      <c r="H30" s="34">
        <f t="shared" si="6"/>
        <v>144638.77</v>
      </c>
      <c r="I30" s="34">
        <f t="shared" si="6"/>
        <v>190244.11</v>
      </c>
      <c r="J30" s="34">
        <f t="shared" si="6"/>
        <v>212446.71</v>
      </c>
      <c r="K30" s="34">
        <f t="shared" si="6"/>
        <v>275329.19</v>
      </c>
      <c r="L30" s="34">
        <f t="shared" si="6"/>
        <v>649786.31</v>
      </c>
      <c r="M30" s="34">
        <f t="shared" si="6"/>
        <v>516927.02</v>
      </c>
      <c r="N30" s="44">
        <f t="shared" si="5"/>
        <v>2592387.28</v>
      </c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/>
      <c r="B31" s="7"/>
      <c r="C31" s="7"/>
      <c r="D31" s="7"/>
      <c r="E31" s="45"/>
      <c r="F31" s="45"/>
      <c r="G31" s="45"/>
      <c r="H31" s="45"/>
      <c r="I31" s="45"/>
      <c r="J31" s="7"/>
      <c r="K31" s="7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" t="s">
        <v>38</v>
      </c>
      <c r="B32" s="12" t="s">
        <v>3</v>
      </c>
      <c r="C32" s="12" t="s">
        <v>4</v>
      </c>
      <c r="D32" s="12" t="s">
        <v>5</v>
      </c>
      <c r="E32" s="11" t="s">
        <v>6</v>
      </c>
      <c r="F32" s="11" t="s">
        <v>7</v>
      </c>
      <c r="G32" s="11" t="s">
        <v>8</v>
      </c>
      <c r="H32" s="11" t="s">
        <v>9</v>
      </c>
      <c r="I32" s="11" t="s">
        <v>10</v>
      </c>
      <c r="J32" s="11" t="s">
        <v>11</v>
      </c>
      <c r="K32" s="11" t="s">
        <v>12</v>
      </c>
      <c r="L32" s="11" t="s">
        <v>13</v>
      </c>
      <c r="M32" s="11" t="s">
        <v>14</v>
      </c>
      <c r="N32" s="46" t="s">
        <v>39</v>
      </c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6" t="s">
        <v>40</v>
      </c>
      <c r="B33" s="47">
        <f t="shared" ref="B33:M33" si="7">MINUS(B13,B30)</f>
        <v>16891.49</v>
      </c>
      <c r="C33" s="47">
        <f t="shared" si="7"/>
        <v>8418.94</v>
      </c>
      <c r="D33" s="47">
        <f t="shared" si="7"/>
        <v>8170.76</v>
      </c>
      <c r="E33" s="47">
        <f t="shared" si="7"/>
        <v>54346.15</v>
      </c>
      <c r="F33" s="47">
        <f t="shared" si="7"/>
        <v>38046.76</v>
      </c>
      <c r="G33" s="47">
        <f t="shared" si="7"/>
        <v>17240.88</v>
      </c>
      <c r="H33" s="47">
        <f t="shared" si="7"/>
        <v>35057.0744</v>
      </c>
      <c r="I33" s="47">
        <f t="shared" si="7"/>
        <v>90934.48</v>
      </c>
      <c r="J33" s="47">
        <f t="shared" si="7"/>
        <v>63243.53</v>
      </c>
      <c r="K33" s="47">
        <f t="shared" si="7"/>
        <v>106652.21</v>
      </c>
      <c r="L33" s="47">
        <f t="shared" si="7"/>
        <v>244622.1</v>
      </c>
      <c r="M33" s="47">
        <f t="shared" si="7"/>
        <v>70328.82</v>
      </c>
      <c r="N33" s="48">
        <f>SUM(B33:M33)</f>
        <v>753953.1944</v>
      </c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0" t="s">
        <v>41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26</v>
      </c>
      <c r="B37" s="2">
        <f>SUM(N19)</f>
        <v>1673048.69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4"/>
      <c r="N37" s="24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42</v>
      </c>
      <c r="B38" s="2">
        <f>SUM(N18)</f>
        <v>628974.59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4"/>
      <c r="N38" s="24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43</v>
      </c>
      <c r="B39" s="24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4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27</v>
      </c>
      <c r="B40" s="2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4" t="s">
        <v>28</v>
      </c>
      <c r="B41" s="2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1"/>
      <c r="B50" s="5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/>
      <c r="B51" s="5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5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75" customHeight="1">
      <c r="A2" s="4"/>
      <c r="B2" s="5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/>
      <c r="B3" s="55">
        <v>2024.0</v>
      </c>
      <c r="C3" s="55">
        <v>2024.0</v>
      </c>
      <c r="D3" s="55">
        <v>2024.0</v>
      </c>
      <c r="E3" s="55">
        <v>2024.0</v>
      </c>
      <c r="F3" s="55">
        <v>2024.0</v>
      </c>
      <c r="G3" s="55">
        <v>2024.0</v>
      </c>
      <c r="H3" s="55">
        <v>2024.0</v>
      </c>
      <c r="I3" s="55">
        <v>2024.0</v>
      </c>
      <c r="J3" s="55">
        <v>2024.0</v>
      </c>
      <c r="K3" s="55">
        <v>2024.0</v>
      </c>
      <c r="L3" s="55">
        <v>2024.0</v>
      </c>
      <c r="M3" s="55">
        <v>2024.0</v>
      </c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1" t="s">
        <v>2</v>
      </c>
      <c r="B4" s="12" t="s">
        <v>3</v>
      </c>
      <c r="C4" s="12" t="s">
        <v>4</v>
      </c>
      <c r="D4" s="12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3" t="s">
        <v>15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 t="s">
        <v>16</v>
      </c>
      <c r="B5" s="23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17">
        <v>34749.22</v>
      </c>
      <c r="J5" s="18">
        <v>57717.06</v>
      </c>
      <c r="K5" s="17">
        <v>202289.1</v>
      </c>
      <c r="L5" s="16">
        <v>476694.39</v>
      </c>
      <c r="M5" s="16">
        <v>781561.44</v>
      </c>
      <c r="N5" s="19">
        <f t="shared" ref="N5:N8" si="1">SUM(B5:M5)</f>
        <v>1553011.21</v>
      </c>
      <c r="O5" s="3"/>
      <c r="P5" s="20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1" t="s">
        <v>17</v>
      </c>
      <c r="B6" s="23">
        <v>0.0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16">
        <v>226.4</v>
      </c>
      <c r="J6" s="22">
        <v>809.11</v>
      </c>
      <c r="K6" s="23">
        <v>2013.67</v>
      </c>
      <c r="L6" s="16">
        <v>2989.85</v>
      </c>
      <c r="M6" s="16">
        <v>4225.4</v>
      </c>
      <c r="N6" s="19">
        <f t="shared" si="1"/>
        <v>10264.43</v>
      </c>
      <c r="O6" s="20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1" t="s">
        <v>18</v>
      </c>
      <c r="B7" s="23">
        <v>0.0</v>
      </c>
      <c r="C7" s="23">
        <v>0.0</v>
      </c>
      <c r="D7" s="23">
        <v>0.0</v>
      </c>
      <c r="E7" s="23">
        <v>0.0</v>
      </c>
      <c r="F7" s="23">
        <v>0.0</v>
      </c>
      <c r="G7" s="23">
        <v>0.0</v>
      </c>
      <c r="H7" s="23">
        <v>0.0</v>
      </c>
      <c r="I7" s="25">
        <v>91.7</v>
      </c>
      <c r="J7" s="25">
        <v>133.77</v>
      </c>
      <c r="K7" s="25">
        <v>497.1</v>
      </c>
      <c r="L7" s="25">
        <v>1333.27</v>
      </c>
      <c r="M7" s="25">
        <v>3755.47</v>
      </c>
      <c r="N7" s="19">
        <f t="shared" si="1"/>
        <v>5811.31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6" t="s">
        <v>19</v>
      </c>
      <c r="B8" s="27">
        <f t="shared" ref="B8:M8" si="2">B5-B6-B7</f>
        <v>0</v>
      </c>
      <c r="C8" s="27">
        <f t="shared" si="2"/>
        <v>0</v>
      </c>
      <c r="D8" s="27">
        <f t="shared" si="2"/>
        <v>0</v>
      </c>
      <c r="E8" s="27">
        <f t="shared" si="2"/>
        <v>0</v>
      </c>
      <c r="F8" s="27">
        <f t="shared" si="2"/>
        <v>0</v>
      </c>
      <c r="G8" s="27">
        <f t="shared" si="2"/>
        <v>0</v>
      </c>
      <c r="H8" s="27">
        <f t="shared" si="2"/>
        <v>0</v>
      </c>
      <c r="I8" s="27">
        <f t="shared" si="2"/>
        <v>34431.12</v>
      </c>
      <c r="J8" s="27">
        <f t="shared" si="2"/>
        <v>56774.18</v>
      </c>
      <c r="K8" s="27">
        <f t="shared" si="2"/>
        <v>199778.33</v>
      </c>
      <c r="L8" s="27">
        <f t="shared" si="2"/>
        <v>472371.27</v>
      </c>
      <c r="M8" s="27">
        <f t="shared" si="2"/>
        <v>773580.57</v>
      </c>
      <c r="N8" s="28">
        <f t="shared" si="1"/>
        <v>1536935.47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20"/>
      <c r="T9" s="3"/>
      <c r="U9" s="3"/>
      <c r="V9" s="3"/>
      <c r="W9" s="3"/>
      <c r="X9" s="3"/>
      <c r="Y9" s="3"/>
      <c r="Z9" s="3"/>
    </row>
    <row r="10" ht="15.75" customHeight="1">
      <c r="A10" s="2"/>
      <c r="B10" s="55">
        <v>2024.0</v>
      </c>
      <c r="C10" s="55">
        <v>2024.0</v>
      </c>
      <c r="D10" s="55">
        <v>2024.0</v>
      </c>
      <c r="E10" s="55">
        <v>2024.0</v>
      </c>
      <c r="F10" s="55">
        <v>2024.0</v>
      </c>
      <c r="G10" s="55">
        <v>2024.0</v>
      </c>
      <c r="H10" s="55">
        <v>2024.0</v>
      </c>
      <c r="I10" s="55">
        <v>2024.0</v>
      </c>
      <c r="J10" s="55">
        <v>2024.0</v>
      </c>
      <c r="K10" s="55">
        <v>2024.0</v>
      </c>
      <c r="L10" s="55">
        <v>2024.0</v>
      </c>
      <c r="M10" s="55">
        <v>2024.0</v>
      </c>
      <c r="N10" s="2"/>
      <c r="O10" s="3"/>
      <c r="P10" s="3"/>
      <c r="Q10" s="3"/>
      <c r="R10" s="20"/>
      <c r="S10" s="20"/>
      <c r="T10" s="3"/>
      <c r="U10" s="3"/>
      <c r="V10" s="3"/>
      <c r="W10" s="3"/>
      <c r="X10" s="3"/>
      <c r="Y10" s="3"/>
      <c r="Z10" s="3"/>
    </row>
    <row r="11" ht="15.75" customHeight="1">
      <c r="A11" s="11" t="s">
        <v>20</v>
      </c>
      <c r="B11" s="12" t="s">
        <v>3</v>
      </c>
      <c r="C11" s="12" t="s">
        <v>4</v>
      </c>
      <c r="D11" s="12" t="s">
        <v>5</v>
      </c>
      <c r="E11" s="11" t="s">
        <v>6</v>
      </c>
      <c r="F11" s="11" t="s">
        <v>7</v>
      </c>
      <c r="G11" s="11" t="s">
        <v>8</v>
      </c>
      <c r="H11" s="11" t="s">
        <v>9</v>
      </c>
      <c r="I11" s="11" t="s">
        <v>10</v>
      </c>
      <c r="J11" s="11" t="s">
        <v>11</v>
      </c>
      <c r="K11" s="11" t="s">
        <v>12</v>
      </c>
      <c r="L11" s="11" t="s">
        <v>13</v>
      </c>
      <c r="M11" s="11" t="s">
        <v>14</v>
      </c>
      <c r="N11" s="13" t="s">
        <v>15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1" t="s">
        <v>21</v>
      </c>
      <c r="B12" s="23">
        <v>0.0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30">
        <v>10241.0</v>
      </c>
      <c r="J12" s="30">
        <v>7222.02</v>
      </c>
      <c r="K12" s="39">
        <v>61218.0</v>
      </c>
      <c r="L12" s="15">
        <v>144493.0</v>
      </c>
      <c r="M12" s="56">
        <v>246752.0</v>
      </c>
      <c r="N12" s="33">
        <f t="shared" ref="N12:N13" si="4">SUM(B12:M12)</f>
        <v>469926.02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6" t="s">
        <v>22</v>
      </c>
      <c r="B13" s="34">
        <f t="shared" ref="B13:M13" si="3">B8-B12</f>
        <v>0</v>
      </c>
      <c r="C13" s="34">
        <f t="shared" si="3"/>
        <v>0</v>
      </c>
      <c r="D13" s="34">
        <f t="shared" si="3"/>
        <v>0</v>
      </c>
      <c r="E13" s="34">
        <f t="shared" si="3"/>
        <v>0</v>
      </c>
      <c r="F13" s="34">
        <f t="shared" si="3"/>
        <v>0</v>
      </c>
      <c r="G13" s="34">
        <f t="shared" si="3"/>
        <v>0</v>
      </c>
      <c r="H13" s="34">
        <f t="shared" si="3"/>
        <v>0</v>
      </c>
      <c r="I13" s="34">
        <f t="shared" si="3"/>
        <v>24190.12</v>
      </c>
      <c r="J13" s="34">
        <f t="shared" si="3"/>
        <v>49552.16</v>
      </c>
      <c r="K13" s="34">
        <f t="shared" si="3"/>
        <v>138560.33</v>
      </c>
      <c r="L13" s="34">
        <f t="shared" si="3"/>
        <v>327878.27</v>
      </c>
      <c r="M13" s="34">
        <f t="shared" si="3"/>
        <v>526828.57</v>
      </c>
      <c r="N13" s="35">
        <f t="shared" si="4"/>
        <v>1067009.45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4"/>
      <c r="K14" s="24"/>
      <c r="L14" s="24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55">
        <v>2024.0</v>
      </c>
      <c r="C15" s="55">
        <v>2024.0</v>
      </c>
      <c r="D15" s="55">
        <v>2024.0</v>
      </c>
      <c r="E15" s="55">
        <v>2024.0</v>
      </c>
      <c r="F15" s="55">
        <v>2024.0</v>
      </c>
      <c r="G15" s="55">
        <v>2024.0</v>
      </c>
      <c r="H15" s="55">
        <v>2024.0</v>
      </c>
      <c r="I15" s="55">
        <v>2024.0</v>
      </c>
      <c r="J15" s="55">
        <v>2024.0</v>
      </c>
      <c r="K15" s="55">
        <v>2024.0</v>
      </c>
      <c r="L15" s="55">
        <v>2024.0</v>
      </c>
      <c r="M15" s="55">
        <v>2024.0</v>
      </c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1" t="s">
        <v>23</v>
      </c>
      <c r="B16" s="12" t="s">
        <v>3</v>
      </c>
      <c r="C16" s="12" t="s">
        <v>4</v>
      </c>
      <c r="D16" s="12" t="s">
        <v>5</v>
      </c>
      <c r="E16" s="11" t="s">
        <v>6</v>
      </c>
      <c r="F16" s="11" t="s">
        <v>7</v>
      </c>
      <c r="G16" s="11" t="s">
        <v>8</v>
      </c>
      <c r="H16" s="11" t="s">
        <v>9</v>
      </c>
      <c r="I16" s="11" t="s">
        <v>10</v>
      </c>
      <c r="J16" s="11" t="s">
        <v>11</v>
      </c>
      <c r="K16" s="11" t="s">
        <v>12</v>
      </c>
      <c r="L16" s="11" t="s">
        <v>13</v>
      </c>
      <c r="M16" s="11" t="s">
        <v>14</v>
      </c>
      <c r="N16" s="13" t="s">
        <v>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6" t="s">
        <v>24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37">
        <f t="shared" ref="N17:N23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25</v>
      </c>
      <c r="B18" s="23">
        <v>0.0</v>
      </c>
      <c r="C18" s="23">
        <v>0.0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37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5" t="s">
        <v>26</v>
      </c>
      <c r="B19" s="23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9607.69</v>
      </c>
      <c r="J19" s="23">
        <v>21260.06</v>
      </c>
      <c r="K19" s="39">
        <v>88611.32</v>
      </c>
      <c r="L19" s="15">
        <v>200928.65</v>
      </c>
      <c r="M19" s="15">
        <v>315206.76</v>
      </c>
      <c r="N19" s="37">
        <f t="shared" si="5"/>
        <v>635614.48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27</v>
      </c>
      <c r="B20" s="23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37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 t="s">
        <v>28</v>
      </c>
      <c r="B21" s="23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37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0" t="s">
        <v>29</v>
      </c>
      <c r="B22" s="23">
        <v>0.0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0.0</v>
      </c>
      <c r="I22" s="23" t="s">
        <v>44</v>
      </c>
      <c r="J22" s="23" t="s">
        <v>45</v>
      </c>
      <c r="K22" s="23" t="s">
        <v>46</v>
      </c>
      <c r="L22" s="23" t="s">
        <v>47</v>
      </c>
      <c r="M22" s="42" t="s">
        <v>48</v>
      </c>
      <c r="N22" s="37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6" t="s">
        <v>30</v>
      </c>
      <c r="B23" s="23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0.0</v>
      </c>
      <c r="M23" s="42">
        <v>0.0</v>
      </c>
      <c r="N23" s="37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 t="s">
        <v>31</v>
      </c>
      <c r="B24" s="23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94.37</v>
      </c>
      <c r="J24" s="23">
        <v>194.72</v>
      </c>
      <c r="K24" s="23">
        <v>639.12</v>
      </c>
      <c r="L24" s="23">
        <v>520.56</v>
      </c>
      <c r="M24" s="23">
        <v>3920.09</v>
      </c>
      <c r="N24" s="37">
        <f>SUM(H24:M24)</f>
        <v>5368.86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6" t="s">
        <v>32</v>
      </c>
      <c r="B25" s="23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33.58</v>
      </c>
      <c r="K25" s="39">
        <v>145.5</v>
      </c>
      <c r="L25" s="15">
        <v>427.54</v>
      </c>
      <c r="M25" s="15">
        <v>644.67</v>
      </c>
      <c r="N25" s="37">
        <f t="shared" ref="N25:N28" si="6">SUM(B25:M25)</f>
        <v>1251.29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3" t="s">
        <v>49</v>
      </c>
      <c r="B26" s="23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3">
        <v>0.0</v>
      </c>
      <c r="L26" s="23">
        <v>0.0</v>
      </c>
      <c r="M26" s="23">
        <v>0.0</v>
      </c>
      <c r="N26" s="37">
        <f t="shared" si="6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0" t="s">
        <v>35</v>
      </c>
      <c r="B27" s="23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23">
        <v>0.0</v>
      </c>
      <c r="L27" s="23">
        <v>0.0</v>
      </c>
      <c r="M27" s="23">
        <v>0.0</v>
      </c>
      <c r="N27" s="37">
        <f t="shared" si="6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" t="s">
        <v>36</v>
      </c>
      <c r="B28" s="23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1500.0</v>
      </c>
      <c r="L28" s="23">
        <v>0.0</v>
      </c>
      <c r="M28" s="23">
        <v>3730.75</v>
      </c>
      <c r="N28" s="37">
        <f t="shared" si="6"/>
        <v>5230.75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7" t="s">
        <v>50</v>
      </c>
      <c r="B29" s="23">
        <v>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58">
        <v>2238.45</v>
      </c>
      <c r="N29" s="37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7" t="s">
        <v>51</v>
      </c>
      <c r="B30" s="23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23">
        <v>0.0</v>
      </c>
      <c r="M30" s="23">
        <v>0.0</v>
      </c>
      <c r="N30" s="37">
        <f t="shared" ref="N30:N31" si="8">SUM(B30:M30)</f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6" t="s">
        <v>37</v>
      </c>
      <c r="B31" s="34">
        <f t="shared" ref="B31:M31" si="7">SUM(B17:B30)</f>
        <v>0</v>
      </c>
      <c r="C31" s="34">
        <f t="shared" si="7"/>
        <v>0</v>
      </c>
      <c r="D31" s="34">
        <f t="shared" si="7"/>
        <v>0</v>
      </c>
      <c r="E31" s="34">
        <f t="shared" si="7"/>
        <v>0</v>
      </c>
      <c r="F31" s="34">
        <f t="shared" si="7"/>
        <v>0</v>
      </c>
      <c r="G31" s="34">
        <f t="shared" si="7"/>
        <v>0</v>
      </c>
      <c r="H31" s="34">
        <f t="shared" si="7"/>
        <v>0</v>
      </c>
      <c r="I31" s="34">
        <f t="shared" si="7"/>
        <v>9702.06</v>
      </c>
      <c r="J31" s="34">
        <f t="shared" si="7"/>
        <v>21488.36</v>
      </c>
      <c r="K31" s="34">
        <f t="shared" si="7"/>
        <v>90895.94</v>
      </c>
      <c r="L31" s="34">
        <f t="shared" si="7"/>
        <v>201876.75</v>
      </c>
      <c r="M31" s="34">
        <f t="shared" si="7"/>
        <v>325740.72</v>
      </c>
      <c r="N31" s="44">
        <f t="shared" si="8"/>
        <v>649703.83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/>
      <c r="B32" s="7"/>
      <c r="C32" s="7"/>
      <c r="D32" s="7"/>
      <c r="E32" s="45"/>
      <c r="F32" s="45"/>
      <c r="G32" s="45"/>
      <c r="H32" s="45"/>
      <c r="I32" s="45"/>
      <c r="J32" s="7"/>
      <c r="K32" s="7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1" t="s">
        <v>38</v>
      </c>
      <c r="B33" s="12" t="s">
        <v>3</v>
      </c>
      <c r="C33" s="12" t="s">
        <v>4</v>
      </c>
      <c r="D33" s="12" t="s">
        <v>5</v>
      </c>
      <c r="E33" s="11" t="s">
        <v>6</v>
      </c>
      <c r="F33" s="11" t="s">
        <v>7</v>
      </c>
      <c r="G33" s="11" t="s">
        <v>8</v>
      </c>
      <c r="H33" s="11" t="s">
        <v>9</v>
      </c>
      <c r="I33" s="11" t="s">
        <v>10</v>
      </c>
      <c r="J33" s="11" t="s">
        <v>11</v>
      </c>
      <c r="K33" s="11" t="s">
        <v>12</v>
      </c>
      <c r="L33" s="11" t="s">
        <v>13</v>
      </c>
      <c r="M33" s="11" t="s">
        <v>14</v>
      </c>
      <c r="N33" s="46" t="s">
        <v>39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6" t="s">
        <v>40</v>
      </c>
      <c r="B34" s="47">
        <f t="shared" ref="B34:M34" si="9">MINUS(B13,B31)</f>
        <v>0</v>
      </c>
      <c r="C34" s="47">
        <f t="shared" si="9"/>
        <v>0</v>
      </c>
      <c r="D34" s="47">
        <f t="shared" si="9"/>
        <v>0</v>
      </c>
      <c r="E34" s="47">
        <f t="shared" si="9"/>
        <v>0</v>
      </c>
      <c r="F34" s="47">
        <f t="shared" si="9"/>
        <v>0</v>
      </c>
      <c r="G34" s="47">
        <f t="shared" si="9"/>
        <v>0</v>
      </c>
      <c r="H34" s="47">
        <f t="shared" si="9"/>
        <v>0</v>
      </c>
      <c r="I34" s="47">
        <f t="shared" si="9"/>
        <v>14488.06</v>
      </c>
      <c r="J34" s="47">
        <f t="shared" si="9"/>
        <v>28063.8</v>
      </c>
      <c r="K34" s="47">
        <f t="shared" si="9"/>
        <v>47664.39</v>
      </c>
      <c r="L34" s="47">
        <f t="shared" si="9"/>
        <v>126001.52</v>
      </c>
      <c r="M34" s="47">
        <f t="shared" si="9"/>
        <v>201087.85</v>
      </c>
      <c r="N34" s="48">
        <f>SUM(B34:M34)</f>
        <v>417305.62</v>
      </c>
      <c r="O34" s="3"/>
      <c r="P34" s="59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0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0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0" t="s">
        <v>41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26</v>
      </c>
      <c r="B38" s="2">
        <f>SUM(N19)</f>
        <v>635614.48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4"/>
      <c r="N38" s="2"/>
      <c r="O38" s="6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42</v>
      </c>
      <c r="B39" s="2">
        <f>SUM(N18)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4"/>
      <c r="N39" s="24"/>
      <c r="O39" s="60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43</v>
      </c>
      <c r="B40" s="24">
        <f>sum(N17)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4"/>
      <c r="N40" s="2"/>
      <c r="O40" s="6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27</v>
      </c>
      <c r="B41" s="2">
        <f>SUM(N20)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0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4" t="s">
        <v>28</v>
      </c>
      <c r="B42" s="2">
        <f>sum(N21)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0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0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0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0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0"/>
      <c r="P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0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0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0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1"/>
      <c r="B51" s="5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5"/>
      <c r="B52" s="5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1">
    <mergeCell ref="A37:B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5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75" customHeight="1">
      <c r="A2" s="4"/>
      <c r="B2" s="61" t="s">
        <v>52</v>
      </c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/>
      <c r="B3" s="62">
        <v>2026.0</v>
      </c>
      <c r="C3" s="62">
        <v>2026.0</v>
      </c>
      <c r="D3" s="62">
        <v>2026.0</v>
      </c>
      <c r="E3" s="62">
        <v>2026.0</v>
      </c>
      <c r="F3" s="62">
        <v>2026.0</v>
      </c>
      <c r="G3" s="62">
        <v>2026.0</v>
      </c>
      <c r="H3" s="62">
        <v>2026.0</v>
      </c>
      <c r="I3" s="62">
        <v>2026.0</v>
      </c>
      <c r="J3" s="62">
        <v>2026.0</v>
      </c>
      <c r="K3" s="62">
        <v>2026.0</v>
      </c>
      <c r="L3" s="62">
        <v>2026.0</v>
      </c>
      <c r="M3" s="62">
        <v>2026.0</v>
      </c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1" t="s">
        <v>2</v>
      </c>
      <c r="B4" s="12" t="s">
        <v>3</v>
      </c>
      <c r="C4" s="12" t="s">
        <v>4</v>
      </c>
      <c r="D4" s="12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3" t="s">
        <v>15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 t="s">
        <v>16</v>
      </c>
      <c r="B5" s="23">
        <v>411993.26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17">
        <v>0.0</v>
      </c>
      <c r="J5" s="18">
        <v>0.0</v>
      </c>
      <c r="K5" s="17">
        <v>0.0</v>
      </c>
      <c r="L5" s="16">
        <v>0.0</v>
      </c>
      <c r="M5" s="16">
        <v>0.0</v>
      </c>
      <c r="N5" s="19">
        <f t="shared" ref="N5:N8" si="1">SUM(B5:M5)</f>
        <v>411993.26</v>
      </c>
      <c r="O5" s="3"/>
      <c r="P5" s="20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1" t="s">
        <v>17</v>
      </c>
      <c r="B6" s="23">
        <v>5093.36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16">
        <v>0.0</v>
      </c>
      <c r="J6" s="22">
        <v>0.0</v>
      </c>
      <c r="K6" s="23">
        <v>0.0</v>
      </c>
      <c r="L6" s="16">
        <v>0.0</v>
      </c>
      <c r="M6" s="16">
        <v>0.0</v>
      </c>
      <c r="N6" s="19">
        <f t="shared" si="1"/>
        <v>5093.36</v>
      </c>
      <c r="O6" s="20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1" t="s">
        <v>18</v>
      </c>
      <c r="B7" s="23">
        <v>830.23</v>
      </c>
      <c r="C7" s="23">
        <v>0.0</v>
      </c>
      <c r="D7" s="23">
        <v>0.0</v>
      </c>
      <c r="E7" s="23">
        <v>0.0</v>
      </c>
      <c r="F7" s="23">
        <v>0.0</v>
      </c>
      <c r="G7" s="23">
        <v>0.0</v>
      </c>
      <c r="H7" s="23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19">
        <f t="shared" si="1"/>
        <v>830.23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6" t="s">
        <v>19</v>
      </c>
      <c r="B8" s="27">
        <f t="shared" ref="B8:M8" si="2">B5-B6-B7</f>
        <v>406069.67</v>
      </c>
      <c r="C8" s="27">
        <f t="shared" si="2"/>
        <v>0</v>
      </c>
      <c r="D8" s="27">
        <f t="shared" si="2"/>
        <v>0</v>
      </c>
      <c r="E8" s="27">
        <f t="shared" si="2"/>
        <v>0</v>
      </c>
      <c r="F8" s="27">
        <f t="shared" si="2"/>
        <v>0</v>
      </c>
      <c r="G8" s="27">
        <f t="shared" si="2"/>
        <v>0</v>
      </c>
      <c r="H8" s="27">
        <f t="shared" si="2"/>
        <v>0</v>
      </c>
      <c r="I8" s="27">
        <f t="shared" si="2"/>
        <v>0</v>
      </c>
      <c r="J8" s="27">
        <f t="shared" si="2"/>
        <v>0</v>
      </c>
      <c r="K8" s="27">
        <f t="shared" si="2"/>
        <v>0</v>
      </c>
      <c r="L8" s="27">
        <f t="shared" si="2"/>
        <v>0</v>
      </c>
      <c r="M8" s="27">
        <f t="shared" si="2"/>
        <v>0</v>
      </c>
      <c r="N8" s="28">
        <f t="shared" si="1"/>
        <v>406069.67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20"/>
      <c r="T9" s="3"/>
      <c r="U9" s="3"/>
      <c r="V9" s="3"/>
      <c r="W9" s="3"/>
      <c r="X9" s="3"/>
      <c r="Y9" s="3"/>
      <c r="Z9" s="3"/>
    </row>
    <row r="10" ht="15.75" customHeight="1">
      <c r="A10" s="2"/>
      <c r="B10" s="62">
        <v>2026.0</v>
      </c>
      <c r="C10" s="62">
        <v>2026.0</v>
      </c>
      <c r="D10" s="62">
        <v>2026.0</v>
      </c>
      <c r="E10" s="62">
        <v>2026.0</v>
      </c>
      <c r="F10" s="62">
        <v>2026.0</v>
      </c>
      <c r="G10" s="62">
        <v>2026.0</v>
      </c>
      <c r="H10" s="62">
        <v>2026.0</v>
      </c>
      <c r="I10" s="62">
        <v>2026.0</v>
      </c>
      <c r="J10" s="62">
        <v>2026.0</v>
      </c>
      <c r="K10" s="62">
        <v>2026.0</v>
      </c>
      <c r="L10" s="62">
        <v>2026.0</v>
      </c>
      <c r="M10" s="62">
        <v>2026.0</v>
      </c>
      <c r="N10" s="2"/>
      <c r="O10" s="3"/>
      <c r="P10" s="3"/>
      <c r="Q10" s="3"/>
      <c r="R10" s="20"/>
      <c r="S10" s="20"/>
      <c r="T10" s="3"/>
      <c r="U10" s="3"/>
      <c r="V10" s="3"/>
      <c r="W10" s="3"/>
      <c r="X10" s="3"/>
      <c r="Y10" s="3"/>
      <c r="Z10" s="3"/>
    </row>
    <row r="11" ht="15.75" customHeight="1">
      <c r="A11" s="11" t="s">
        <v>20</v>
      </c>
      <c r="B11" s="12" t="s">
        <v>3</v>
      </c>
      <c r="C11" s="12" t="s">
        <v>4</v>
      </c>
      <c r="D11" s="12" t="s">
        <v>5</v>
      </c>
      <c r="E11" s="11" t="s">
        <v>6</v>
      </c>
      <c r="F11" s="11" t="s">
        <v>7</v>
      </c>
      <c r="G11" s="11" t="s">
        <v>8</v>
      </c>
      <c r="H11" s="11" t="s">
        <v>9</v>
      </c>
      <c r="I11" s="11" t="s">
        <v>10</v>
      </c>
      <c r="J11" s="11" t="s">
        <v>11</v>
      </c>
      <c r="K11" s="11" t="s">
        <v>12</v>
      </c>
      <c r="L11" s="11" t="s">
        <v>13</v>
      </c>
      <c r="M11" s="11" t="s">
        <v>14</v>
      </c>
      <c r="N11" s="13" t="s">
        <v>15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1" t="s">
        <v>21</v>
      </c>
      <c r="B12" s="23">
        <v>97215.36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30">
        <v>0.0</v>
      </c>
      <c r="J12" s="30">
        <v>0.0</v>
      </c>
      <c r="K12" s="39">
        <v>0.0</v>
      </c>
      <c r="L12" s="15">
        <v>0.0</v>
      </c>
      <c r="M12" s="56">
        <v>0.0</v>
      </c>
      <c r="N12" s="33">
        <f t="shared" ref="N12:N13" si="4">SUM(B12:M12)</f>
        <v>97215.36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6" t="s">
        <v>22</v>
      </c>
      <c r="B13" s="34">
        <f t="shared" ref="B13:M13" si="3">B8-B12</f>
        <v>308854.31</v>
      </c>
      <c r="C13" s="34">
        <f t="shared" si="3"/>
        <v>0</v>
      </c>
      <c r="D13" s="34">
        <f t="shared" si="3"/>
        <v>0</v>
      </c>
      <c r="E13" s="34">
        <f t="shared" si="3"/>
        <v>0</v>
      </c>
      <c r="F13" s="34">
        <f t="shared" si="3"/>
        <v>0</v>
      </c>
      <c r="G13" s="34">
        <f t="shared" si="3"/>
        <v>0</v>
      </c>
      <c r="H13" s="34">
        <f t="shared" si="3"/>
        <v>0</v>
      </c>
      <c r="I13" s="34">
        <f t="shared" si="3"/>
        <v>0</v>
      </c>
      <c r="J13" s="34">
        <f t="shared" si="3"/>
        <v>0</v>
      </c>
      <c r="K13" s="34">
        <f t="shared" si="3"/>
        <v>0</v>
      </c>
      <c r="L13" s="34">
        <f t="shared" si="3"/>
        <v>0</v>
      </c>
      <c r="M13" s="34">
        <f t="shared" si="3"/>
        <v>0</v>
      </c>
      <c r="N13" s="35">
        <f t="shared" si="4"/>
        <v>308854.31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4"/>
      <c r="K14" s="24"/>
      <c r="L14" s="24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62">
        <v>2026.0</v>
      </c>
      <c r="C15" s="62">
        <v>2026.0</v>
      </c>
      <c r="D15" s="62">
        <v>2026.0</v>
      </c>
      <c r="E15" s="62">
        <v>2026.0</v>
      </c>
      <c r="F15" s="62">
        <v>2026.0</v>
      </c>
      <c r="G15" s="62">
        <v>2026.0</v>
      </c>
      <c r="H15" s="62">
        <v>2026.0</v>
      </c>
      <c r="I15" s="62">
        <v>2026.0</v>
      </c>
      <c r="J15" s="62">
        <v>2026.0</v>
      </c>
      <c r="K15" s="62">
        <v>2026.0</v>
      </c>
      <c r="L15" s="62">
        <v>2026.0</v>
      </c>
      <c r="M15" s="62">
        <v>2026.0</v>
      </c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1" t="s">
        <v>23</v>
      </c>
      <c r="B16" s="12" t="s">
        <v>3</v>
      </c>
      <c r="C16" s="12" t="s">
        <v>4</v>
      </c>
      <c r="D16" s="12" t="s">
        <v>5</v>
      </c>
      <c r="E16" s="11" t="s">
        <v>6</v>
      </c>
      <c r="F16" s="11" t="s">
        <v>7</v>
      </c>
      <c r="G16" s="11" t="s">
        <v>8</v>
      </c>
      <c r="H16" s="11" t="s">
        <v>9</v>
      </c>
      <c r="I16" s="11" t="s">
        <v>10</v>
      </c>
      <c r="J16" s="11" t="s">
        <v>11</v>
      </c>
      <c r="K16" s="11" t="s">
        <v>12</v>
      </c>
      <c r="L16" s="11" t="s">
        <v>13</v>
      </c>
      <c r="M16" s="11" t="s">
        <v>14</v>
      </c>
      <c r="N16" s="13" t="s">
        <v>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6" t="s">
        <v>24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37">
        <f t="shared" ref="N17:N23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25</v>
      </c>
      <c r="B18" s="23">
        <v>93654.68</v>
      </c>
      <c r="C18" s="23">
        <v>0.0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37">
        <f t="shared" si="5"/>
        <v>93654.68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5" t="s">
        <v>26</v>
      </c>
      <c r="B19" s="23">
        <v>133837.35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39">
        <v>0.0</v>
      </c>
      <c r="L19" s="15">
        <v>0.0</v>
      </c>
      <c r="M19" s="15">
        <v>0.0</v>
      </c>
      <c r="N19" s="37">
        <f t="shared" si="5"/>
        <v>133837.35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27</v>
      </c>
      <c r="B20" s="23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37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 t="s">
        <v>28</v>
      </c>
      <c r="B21" s="23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37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0" t="s">
        <v>29</v>
      </c>
      <c r="B22" s="23" t="s">
        <v>53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3">
        <v>0.0</v>
      </c>
      <c r="K22" s="23">
        <v>0.0</v>
      </c>
      <c r="L22" s="23">
        <v>0.0</v>
      </c>
      <c r="M22" s="42">
        <v>0.0</v>
      </c>
      <c r="N22" s="37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6" t="s">
        <v>30</v>
      </c>
      <c r="B23" s="23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0.0</v>
      </c>
      <c r="M23" s="42">
        <v>0.0</v>
      </c>
      <c r="N23" s="37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 t="s">
        <v>31</v>
      </c>
      <c r="B24" s="23">
        <v>828.91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23">
        <v>0.0</v>
      </c>
      <c r="M24" s="23">
        <v>0.0</v>
      </c>
      <c r="N24" s="37">
        <f>SUM(H24:M24)</f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6" t="s">
        <v>32</v>
      </c>
      <c r="B25" s="23">
        <v>1671.82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39">
        <v>0.0</v>
      </c>
      <c r="L25" s="15">
        <v>0.0</v>
      </c>
      <c r="M25" s="15">
        <v>0.0</v>
      </c>
      <c r="N25" s="37">
        <f t="shared" ref="N25:N27" si="6">SUM(B25:M25)</f>
        <v>1671.82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3" t="s">
        <v>49</v>
      </c>
      <c r="B26" s="23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3">
        <v>0.0</v>
      </c>
      <c r="L26" s="23">
        <v>0.0</v>
      </c>
      <c r="M26" s="23">
        <v>0.0</v>
      </c>
      <c r="N26" s="37">
        <f t="shared" si="6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0" t="s">
        <v>35</v>
      </c>
      <c r="B27" s="23">
        <v>0.0</v>
      </c>
      <c r="C27" s="23">
        <v>0.0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23">
        <v>0.0</v>
      </c>
      <c r="L27" s="23">
        <v>0.0</v>
      </c>
      <c r="M27" s="23">
        <v>0.0</v>
      </c>
      <c r="N27" s="37">
        <f t="shared" si="6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" t="s">
        <v>54</v>
      </c>
      <c r="B28" s="23">
        <v>5466.49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3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" t="s">
        <v>36</v>
      </c>
      <c r="B29" s="23">
        <v>1500.0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37">
        <f>SUM(B29:M29)</f>
        <v>1500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7" t="s">
        <v>50</v>
      </c>
      <c r="B30" s="23">
        <v>7074.19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23">
        <v>0.0</v>
      </c>
      <c r="M30" s="58">
        <v>0.0</v>
      </c>
      <c r="N30" s="3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7" t="s">
        <v>51</v>
      </c>
      <c r="B31" s="23">
        <v>0.0</v>
      </c>
      <c r="C31" s="23">
        <v>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v>0.0</v>
      </c>
      <c r="L31" s="23">
        <v>0.0</v>
      </c>
      <c r="M31" s="23">
        <v>0.0</v>
      </c>
      <c r="N31" s="37">
        <f t="shared" ref="N31:N32" si="8">SUM(B31:M31)</f>
        <v>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6" t="s">
        <v>37</v>
      </c>
      <c r="B32" s="34">
        <f t="shared" ref="B32:M32" si="7">SUM(B17:B31)</f>
        <v>244033.44</v>
      </c>
      <c r="C32" s="34">
        <f t="shared" si="7"/>
        <v>0</v>
      </c>
      <c r="D32" s="34">
        <f t="shared" si="7"/>
        <v>0</v>
      </c>
      <c r="E32" s="34">
        <f t="shared" si="7"/>
        <v>0</v>
      </c>
      <c r="F32" s="34">
        <f t="shared" si="7"/>
        <v>0</v>
      </c>
      <c r="G32" s="34">
        <f t="shared" si="7"/>
        <v>0</v>
      </c>
      <c r="H32" s="34">
        <f t="shared" si="7"/>
        <v>0</v>
      </c>
      <c r="I32" s="34">
        <f t="shared" si="7"/>
        <v>0</v>
      </c>
      <c r="J32" s="34">
        <f t="shared" si="7"/>
        <v>0</v>
      </c>
      <c r="K32" s="34">
        <f t="shared" si="7"/>
        <v>0</v>
      </c>
      <c r="L32" s="34">
        <f t="shared" si="7"/>
        <v>0</v>
      </c>
      <c r="M32" s="34">
        <f t="shared" si="7"/>
        <v>0</v>
      </c>
      <c r="N32" s="44">
        <f t="shared" si="8"/>
        <v>244033.44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/>
      <c r="B33" s="7"/>
      <c r="C33" s="7"/>
      <c r="D33" s="7"/>
      <c r="E33" s="45"/>
      <c r="F33" s="45"/>
      <c r="G33" s="45"/>
      <c r="H33" s="45"/>
      <c r="I33" s="45"/>
      <c r="J33" s="7"/>
      <c r="K33" s="7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1" t="s">
        <v>38</v>
      </c>
      <c r="B34" s="12" t="s">
        <v>3</v>
      </c>
      <c r="C34" s="12" t="s">
        <v>4</v>
      </c>
      <c r="D34" s="12" t="s">
        <v>5</v>
      </c>
      <c r="E34" s="11" t="s">
        <v>6</v>
      </c>
      <c r="F34" s="11" t="s">
        <v>7</v>
      </c>
      <c r="G34" s="11" t="s">
        <v>8</v>
      </c>
      <c r="H34" s="11" t="s">
        <v>9</v>
      </c>
      <c r="I34" s="11" t="s">
        <v>10</v>
      </c>
      <c r="J34" s="11" t="s">
        <v>11</v>
      </c>
      <c r="K34" s="11" t="s">
        <v>12</v>
      </c>
      <c r="L34" s="11" t="s">
        <v>13</v>
      </c>
      <c r="M34" s="11" t="s">
        <v>14</v>
      </c>
      <c r="N34" s="46" t="s">
        <v>39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6" t="s">
        <v>40</v>
      </c>
      <c r="B35" s="47">
        <f t="shared" ref="B35:M35" si="9">MINUS(B13,B32)</f>
        <v>64820.87</v>
      </c>
      <c r="C35" s="47">
        <f t="shared" si="9"/>
        <v>0</v>
      </c>
      <c r="D35" s="47">
        <f t="shared" si="9"/>
        <v>0</v>
      </c>
      <c r="E35" s="47">
        <f t="shared" si="9"/>
        <v>0</v>
      </c>
      <c r="F35" s="47">
        <f t="shared" si="9"/>
        <v>0</v>
      </c>
      <c r="G35" s="47">
        <f t="shared" si="9"/>
        <v>0</v>
      </c>
      <c r="H35" s="47">
        <f t="shared" si="9"/>
        <v>0</v>
      </c>
      <c r="I35" s="47">
        <f t="shared" si="9"/>
        <v>0</v>
      </c>
      <c r="J35" s="47">
        <f t="shared" si="9"/>
        <v>0</v>
      </c>
      <c r="K35" s="47">
        <f t="shared" si="9"/>
        <v>0</v>
      </c>
      <c r="L35" s="47">
        <f t="shared" si="9"/>
        <v>0</v>
      </c>
      <c r="M35" s="47">
        <f t="shared" si="9"/>
        <v>0</v>
      </c>
      <c r="N35" s="48">
        <f>SUM(B35:M35)</f>
        <v>64820.87</v>
      </c>
      <c r="O35" s="3"/>
      <c r="P35" s="59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0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0" t="s">
        <v>41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26</v>
      </c>
      <c r="B39" s="2">
        <f>SUM(N19)</f>
        <v>133837.35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4"/>
      <c r="N39" s="2"/>
      <c r="O39" s="60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42</v>
      </c>
      <c r="B40" s="2">
        <f>SUM(N18)</f>
        <v>93654.68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4"/>
      <c r="N40" s="24"/>
      <c r="O40" s="6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43</v>
      </c>
      <c r="B41" s="24">
        <f>sum(N17)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4"/>
      <c r="N41" s="2"/>
      <c r="O41" s="60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27</v>
      </c>
      <c r="B42" s="2">
        <f>SUM(N20)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0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4" t="s">
        <v>28</v>
      </c>
      <c r="B43" s="2">
        <f>sum(N21)</f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0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0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0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0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0"/>
      <c r="P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0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0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1"/>
      <c r="B52" s="5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5"/>
      <c r="B53" s="5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1">
    <mergeCell ref="A38:B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