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5"/>
    <sheet state="visible" name="2025" sheetId="2" r:id="rId6"/>
    <sheet state="visible" name="2024" sheetId="3" r:id="rId7"/>
    <sheet state="visible" name="2023" sheetId="4" r:id="rId8"/>
  </sheets>
  <definedNames/>
  <calcPr/>
</workbook>
</file>

<file path=xl/sharedStrings.xml><?xml version="1.0" encoding="utf-8"?>
<sst xmlns="http://schemas.openxmlformats.org/spreadsheetml/2006/main" count="332" uniqueCount="43">
  <si>
    <t>Income</t>
  </si>
  <si>
    <t xml:space="preserve">January </t>
  </si>
  <si>
    <t>Febraury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</si>
  <si>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</si>
  <si>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</si>
  <si>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</si>
  <si>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</si>
  <si>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</si>
  <si>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</si>
  <si>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</si>
  <si>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</si>
  <si>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</si>
  <si>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</si>
  <si>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</si>
  <si>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Sales</t>
  </si>
  <si>
    <t>Refunds</t>
  </si>
  <si>
    <t>Chargebacks</t>
  </si>
  <si>
    <t>Total Income</t>
  </si>
  <si>
    <t>Cost of Goods</t>
  </si>
  <si>
    <t>Product Costs + Shipping</t>
  </si>
  <si>
    <t xml:space="preserve">Gross Profit </t>
  </si>
  <si>
    <t>Expenses</t>
  </si>
  <si>
    <t>TikTok</t>
  </si>
  <si>
    <t>Google</t>
  </si>
  <si>
    <t>Facebook</t>
  </si>
  <si>
    <t>Snapchat</t>
  </si>
  <si>
    <t>Pinterest</t>
  </si>
  <si>
    <t>Processing Fees</t>
  </si>
  <si>
    <t>Content Costs</t>
  </si>
  <si>
    <t xml:space="preserve">Shopify Bill </t>
  </si>
  <si>
    <t>(Klaviyo, TripleWhale)</t>
  </si>
  <si>
    <t xml:space="preserve">3rd Party Softwares </t>
  </si>
  <si>
    <t xml:space="preserve">Disputifier </t>
  </si>
  <si>
    <t>Virtual Assistant(s)</t>
  </si>
  <si>
    <t>Email Agency</t>
  </si>
  <si>
    <t>Total Expenses</t>
  </si>
  <si>
    <t>Profit</t>
  </si>
  <si>
    <t>Total Net Profit</t>
  </si>
  <si>
    <t>Net Profit</t>
  </si>
  <si>
    <t>Total Spent Per Traffic Source</t>
  </si>
  <si>
    <t>Google Adwords</t>
  </si>
  <si>
    <t>Tiktok</t>
  </si>
  <si>
    <t>*ADD MORE ROWS IF NEEDED*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</si>
</sst>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]#,##0.00"/>
    <numFmt numFmtId="165" formatCode="&quot;$&quot;#,##0.00"/>
  </numFmts>
  <fonts count="12">
    <font>
      <sz val="10.0"/>
      <color rgb="FF000000"/>
      <name val="Calibri"/>
      <scheme val="minor"/>
    </font>
    <font>
      <b/>
      <sz val="12.0"/>
      <color rgb="FFFF9900"/>
      <name val="Montserrat"/>
    </font>
    <font>
      <color theme="1"/>
      <name val="Montserrat"/>
    </font>
    <font>
      <i/>
      <u/>
      <color theme="1"/>
      <name val="Montserrat"/>
    </font>
    <font>
      <b/>
      <color rgb="FFFFFFFF"/>
      <name val="Montserrat"/>
    </font>
    <font>
      <sz val="10.0"/>
      <color theme="1"/>
      <name val="Montserrat"/>
    </font>
    <font>
      <sz val="10.0"/>
      <color rgb="FF000000"/>
      <name val="Montserrat"/>
    </font>
    <font>
      <sz val="10.0"/>
      <color rgb="FF303030"/>
      <name val="Montserrat"/>
    </font>
    <font>
      <b/>
      <color theme="1"/>
      <name val="Montserrat"/>
    </font>
    <font>
      <b/>
      <sz val="10.0"/>
      <color theme="1"/>
      <name val="Montserrat"/>
    </font>
    <font>
      <color rgb="FF000000"/>
      <name val="Montserrat"/>
    </font>
    <font>
      <color rgb="FF303030"/>
      <name val="Montserrat"/>
    </font>
  </fonts>
  <fills count="7">
    <fill>
      <patternFill patternType="none"/>
    </fill>
    <fill>
      <patternFill patternType="lightGray"/>
    </fill>
    <fill>
      <patternFill patternType="solid">
        <fgColor rgb="FFF7F7F7"/>
        <bgColor rgb="FFF7F7F7"/>
      </patternFill>
    </fill>
    <fill>
      <patternFill patternType="solid">
        <fgColor rgb="FFC496EA"/>
        <bgColor rgb="FFC496EA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0" fontId="2" numFmtId="0" xfId="0" applyFont="1"/>
    <xf borderId="0" fillId="0" fontId="2" numFmtId="0" xfId="0" applyFont="1"/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/>
    </xf>
    <xf borderId="0" fillId="3" fontId="4" numFmtId="0" xfId="0" applyAlignment="1" applyFill="1" applyFont="1">
      <alignment vertical="bottom"/>
    </xf>
    <xf borderId="0" fillId="3" fontId="4" numFmtId="0" xfId="0" applyAlignment="1" applyFont="1">
      <alignment readingOrder="0"/>
    </xf>
    <xf borderId="0" fillId="3" fontId="4" numFmtId="0" xfId="0" applyAlignment="1" applyFont="1">
      <alignment horizontal="right" vertical="bottom"/>
    </xf>
    <xf borderId="0" fillId="0" fontId="5" numFmtId="164" xfId="0" applyAlignment="1" applyFont="1" applyNumberFormat="1">
      <alignment readingOrder="0" shrinkToFit="0" wrapText="0"/>
    </xf>
    <xf borderId="0" fillId="0" fontId="6" numFmtId="164" xfId="0" applyAlignment="1" applyFont="1" applyNumberFormat="1">
      <alignment horizontal="right" readingOrder="0" vertical="bottom"/>
    </xf>
    <xf borderId="0" fillId="0" fontId="5" numFmtId="164" xfId="0" applyAlignment="1" applyFont="1" applyNumberFormat="1">
      <alignment readingOrder="0"/>
    </xf>
    <xf borderId="0" fillId="0" fontId="7" numFmtId="164" xfId="0" applyAlignment="1" applyFont="1" applyNumberFormat="1">
      <alignment horizontal="right" readingOrder="0" shrinkToFit="0" wrapText="0"/>
    </xf>
    <xf borderId="0" fillId="0" fontId="7" numFmtId="164" xfId="0" applyAlignment="1" applyFont="1" applyNumberFormat="1">
      <alignment horizontal="right" readingOrder="0"/>
    </xf>
    <xf borderId="0" fillId="0" fontId="6" numFmtId="164" xfId="0" applyAlignment="1" applyFont="1" applyNumberFormat="1">
      <alignment horizontal="right" readingOrder="0"/>
    </xf>
    <xf borderId="0" fillId="4" fontId="5" numFmtId="164" xfId="0" applyAlignment="1" applyFill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0" fontId="7" numFmtId="164" xfId="0" applyAlignment="1" applyFont="1" applyNumberFormat="1">
      <alignment readingOrder="0" shrinkToFit="0" wrapText="0"/>
    </xf>
    <xf borderId="0" fillId="0" fontId="5" numFmtId="164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readingOrder="0" shrinkToFit="0" wrapText="0"/>
    </xf>
    <xf borderId="0" fillId="4" fontId="8" numFmtId="0" xfId="0" applyAlignment="1" applyFont="1">
      <alignment vertical="bottom"/>
    </xf>
    <xf borderId="0" fillId="5" fontId="8" numFmtId="164" xfId="0" applyAlignment="1" applyFill="1" applyFont="1" applyNumberFormat="1">
      <alignment readingOrder="0" shrinkToFit="0" wrapText="0"/>
    </xf>
    <xf borderId="0" fillId="5" fontId="8" numFmtId="164" xfId="0" applyAlignment="1" applyFont="1" applyNumberFormat="1">
      <alignment readingOrder="0" vertical="bottom"/>
    </xf>
    <xf borderId="0" fillId="6" fontId="2" numFmtId="164" xfId="0" applyAlignment="1" applyFill="1" applyFont="1" applyNumberFormat="1">
      <alignment horizontal="right" vertical="bottom"/>
    </xf>
    <xf borderId="0" fillId="6" fontId="6" numFmtId="164" xfId="0" applyAlignment="1" applyFont="1" applyNumberFormat="1">
      <alignment horizontal="right" readingOrder="0" vertical="bottom"/>
    </xf>
    <xf borderId="0" fillId="0" fontId="6" numFmtId="164" xfId="0" applyAlignment="1" applyFont="1" applyNumberFormat="1">
      <alignment horizontal="right" readingOrder="0"/>
    </xf>
    <xf borderId="0" fillId="6" fontId="5" numFmtId="164" xfId="0" applyAlignment="1" applyFont="1" applyNumberFormat="1">
      <alignment horizontal="right" readingOrder="0" vertical="bottom"/>
    </xf>
    <xf borderId="0" fillId="0" fontId="5" numFmtId="164" xfId="0" applyAlignment="1" applyFont="1" applyNumberFormat="1">
      <alignment readingOrder="0" vertical="bottom"/>
    </xf>
    <xf borderId="0" fillId="4" fontId="5" numFmtId="164" xfId="0" applyAlignment="1" applyFont="1" applyNumberFormat="1">
      <alignment horizontal="right" readingOrder="0" vertical="bottom"/>
    </xf>
    <xf borderId="0" fillId="4" fontId="9" numFmtId="164" xfId="0" applyAlignment="1" applyFont="1" applyNumberFormat="1">
      <alignment horizontal="right" vertical="bottom"/>
    </xf>
    <xf borderId="0" fillId="4" fontId="9" numFmtId="164" xfId="0" applyAlignment="1" applyFont="1" applyNumberFormat="1">
      <alignment readingOrder="0" vertical="bottom"/>
    </xf>
    <xf borderId="0" fillId="0" fontId="5" numFmtId="0" xfId="0" applyAlignment="1" applyFont="1">
      <alignment readingOrder="0" vertical="bottom"/>
    </xf>
    <xf borderId="0" fillId="4" fontId="5" numFmtId="165" xfId="0" applyAlignment="1" applyFont="1" applyNumberFormat="1">
      <alignment horizontal="right" vertical="bottom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/>
    </xf>
    <xf borderId="0" fillId="0" fontId="5" numFmtId="164" xfId="0" applyAlignment="1" applyFont="1" applyNumberFormat="1">
      <alignment horizontal="right" readingOrder="0"/>
    </xf>
    <xf borderId="0" fillId="6" fontId="7" numFmtId="164" xfId="0" applyAlignment="1" applyFont="1" applyNumberFormat="1">
      <alignment readingOrder="0"/>
    </xf>
    <xf borderId="0" fillId="0" fontId="6" numFmtId="0" xfId="0" applyAlignment="1" applyFont="1">
      <alignment readingOrder="0" vertical="bottom"/>
    </xf>
    <xf borderId="0" fillId="4" fontId="9" numFmtId="165" xfId="0" applyAlignment="1" applyFont="1" applyNumberFormat="1">
      <alignment horizontal="right" vertical="bottom"/>
    </xf>
    <xf borderId="0" fillId="4" fontId="9" numFmtId="165" xfId="0" applyAlignment="1" applyFont="1" applyNumberFormat="1">
      <alignment horizontal="right" readingOrder="0" vertical="bottom"/>
    </xf>
    <xf borderId="0" fillId="6" fontId="2" numFmtId="0" xfId="0" applyAlignment="1" applyFont="1">
      <alignment vertical="bottom"/>
    </xf>
    <xf borderId="0" fillId="3" fontId="4" numFmtId="0" xfId="0" applyAlignment="1" applyFont="1">
      <alignment horizontal="right" readingOrder="0" vertical="bottom"/>
    </xf>
    <xf borderId="0" fillId="4" fontId="8" numFmtId="165" xfId="0" applyAlignment="1" applyFont="1" applyNumberFormat="1">
      <alignment horizontal="right" vertical="bottom"/>
    </xf>
    <xf borderId="0" fillId="4" fontId="8" numFmtId="165" xfId="0" applyAlignment="1" applyFont="1" applyNumberFormat="1">
      <alignment horizontal="right" readingOrder="0" vertical="bottom"/>
    </xf>
    <xf borderId="0" fillId="0" fontId="8" numFmtId="0" xfId="0" applyAlignment="1" applyFont="1">
      <alignment readingOrder="0"/>
    </xf>
    <xf borderId="0" fillId="3" fontId="4" numFmtId="0" xfId="0" applyFont="1"/>
    <xf borderId="0" fillId="0" fontId="2" numFmtId="165" xfId="0" applyFont="1" applyNumberFormat="1"/>
    <xf borderId="0" fillId="0" fontId="2" numFmtId="165" xfId="0" applyAlignment="1" applyFont="1" applyNumberFormat="1">
      <alignment readingOrder="0"/>
    </xf>
    <xf borderId="0" fillId="0" fontId="2" numFmtId="165" xfId="0" applyAlignment="1" applyFont="1" applyNumberFormat="1">
      <alignment horizontal="right" vertical="bottom"/>
    </xf>
    <xf borderId="0" fillId="0" fontId="2" numFmtId="2" xfId="0" applyAlignment="1" applyFont="1" applyNumberFormat="1">
      <alignment horizontal="right" vertical="bottom"/>
    </xf>
    <xf borderId="0" fillId="6" fontId="10" numFmtId="0" xfId="0" applyAlignment="1" applyFont="1">
      <alignment vertical="bottom"/>
    </xf>
    <xf borderId="0" fillId="6" fontId="10" numFmtId="165" xfId="0" applyAlignment="1" applyFont="1" applyNumberFormat="1">
      <alignment horizontal="right" vertical="bottom"/>
    </xf>
    <xf borderId="0" fillId="6" fontId="2" numFmtId="4" xfId="0" applyAlignment="1" applyFont="1" applyNumberFormat="1">
      <alignment horizontal="right" vertical="bottom"/>
    </xf>
    <xf borderId="0" fillId="6" fontId="11" numFmtId="164" xfId="0" applyAlignment="1" applyFont="1" applyNumberFormat="1">
      <alignment horizontal="right" vertical="bottom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'2026'!$A$37:$A$41</c:f>
            </c:strRef>
          </c:cat>
          <c:val>
            <c:numRef>
              <c:f>'2026'!$B$37:$B$41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'2025'!$A$37:$A$41</c:f>
            </c:strRef>
          </c:cat>
          <c:val>
            <c:numRef>
              <c:f>'2025'!$B$37:$B$41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'2024'!$A$37:$A$41</c:f>
            </c:strRef>
          </c:cat>
          <c:val>
            <c:numRef>
              <c:f>'2024'!$B$37:$B$41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'2023'!$A$37:$A$41</c:f>
            </c:strRef>
          </c:cat>
          <c:val>
            <c:numRef>
              <c:f>'2023'!$B$37:$B$41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35</xdr:row>
      <xdr:rowOff>47625</xdr:rowOff>
    </xdr:from>
    <xdr:ext cx="5772150" cy="35814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866775</xdr:colOff>
      <xdr:row>20</xdr:row>
      <xdr:rowOff>76200</xdr:rowOff>
    </xdr:from>
    <xdr:ext cx="4581525" cy="4581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35</xdr:row>
      <xdr:rowOff>47625</xdr:rowOff>
    </xdr:from>
    <xdr:ext cx="5772150" cy="35814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381000</xdr:colOff>
      <xdr:row>19</xdr:row>
      <xdr:rowOff>104775</xdr:rowOff>
    </xdr:from>
    <xdr:ext cx="4581525" cy="4581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35</xdr:row>
      <xdr:rowOff>47625</xdr:rowOff>
    </xdr:from>
    <xdr:ext cx="5772150" cy="35814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381000</xdr:colOff>
      <xdr:row>19</xdr:row>
      <xdr:rowOff>104775</xdr:rowOff>
    </xdr:from>
    <xdr:ext cx="4581525" cy="4581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35</xdr:row>
      <xdr:rowOff>47625</xdr:rowOff>
    </xdr:from>
    <xdr:ext cx="5772150" cy="35814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381000</xdr:colOff>
      <xdr:row>19</xdr:row>
      <xdr:rowOff>104775</xdr:rowOff>
    </xdr:from>
    <xdr:ext cx="4581525" cy="4581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8.71"/>
    <col customWidth="1" min="2" max="6" width="14.43"/>
    <col customWidth="1" min="12" max="12" width="14.29"/>
    <col customWidth="1" min="14" max="14" width="24.29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6"/>
      <c r="B3" s="7">
        <v>2026.0</v>
      </c>
      <c r="C3" s="7">
        <v>2026.0</v>
      </c>
      <c r="D3" s="7">
        <v>2026.0</v>
      </c>
      <c r="E3" s="7">
        <v>2026.0</v>
      </c>
      <c r="F3" s="7">
        <v>2026.0</v>
      </c>
      <c r="G3" s="7">
        <v>2026.0</v>
      </c>
      <c r="H3" s="7">
        <v>2026.0</v>
      </c>
      <c r="I3" s="7">
        <v>2026.0</v>
      </c>
      <c r="J3" s="7">
        <v>2026.0</v>
      </c>
      <c r="K3" s="7">
        <v>2026.0</v>
      </c>
      <c r="L3" s="7">
        <v>2026.0</v>
      </c>
      <c r="M3" s="7">
        <v>2026.0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8" t="s">
        <v>0</v>
      </c>
      <c r="B4" s="9" t="s">
        <v>1</v>
      </c>
      <c r="C4" s="9" t="s">
        <v>2</v>
      </c>
      <c r="D4" s="9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10" t="s">
        <v>13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" t="s">
        <v>14</v>
      </c>
      <c r="B5" s="11">
        <v>129922.05</v>
      </c>
      <c r="C5" s="12">
        <v>106556.12</v>
      </c>
      <c r="D5" s="13">
        <v>100050.26</v>
      </c>
      <c r="E5" s="12"/>
      <c r="F5" s="12"/>
      <c r="G5" s="14"/>
      <c r="H5" s="15"/>
      <c r="I5" s="15"/>
      <c r="J5" s="16"/>
      <c r="K5" s="15"/>
      <c r="L5" s="14"/>
      <c r="M5" s="14"/>
      <c r="N5" s="17">
        <f t="shared" ref="N5:N8" si="1">SUM(B5:M5)</f>
        <v>336528.43</v>
      </c>
      <c r="O5" s="3"/>
      <c r="P5" s="7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8" t="s">
        <v>15</v>
      </c>
      <c r="B6" s="11">
        <v>2298.91</v>
      </c>
      <c r="C6" s="12">
        <v>1722.37</v>
      </c>
      <c r="D6" s="13">
        <v>2272.45</v>
      </c>
      <c r="E6" s="12"/>
      <c r="F6" s="13"/>
      <c r="G6" s="12"/>
      <c r="H6" s="14"/>
      <c r="I6" s="14"/>
      <c r="J6" s="19"/>
      <c r="K6" s="20"/>
      <c r="L6" s="14"/>
      <c r="M6" s="14"/>
      <c r="N6" s="17">
        <f t="shared" si="1"/>
        <v>6293.73</v>
      </c>
      <c r="O6" s="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8" t="s">
        <v>16</v>
      </c>
      <c r="B7" s="21">
        <v>732.75</v>
      </c>
      <c r="C7" s="21">
        <v>319.45</v>
      </c>
      <c r="D7" s="21">
        <v>215.39</v>
      </c>
      <c r="E7" s="22"/>
      <c r="F7" s="22"/>
      <c r="G7" s="22"/>
      <c r="H7" s="22"/>
      <c r="I7" s="22"/>
      <c r="J7" s="22"/>
      <c r="K7" s="22"/>
      <c r="L7" s="22"/>
      <c r="M7" s="22"/>
      <c r="N7" s="17">
        <f t="shared" si="1"/>
        <v>1267.59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23" t="s">
        <v>17</v>
      </c>
      <c r="B8" s="24">
        <f t="shared" ref="B8:M8" si="2">B5-B6-B7</f>
        <v>126890.39</v>
      </c>
      <c r="C8" s="24">
        <f t="shared" si="2"/>
        <v>104514.3</v>
      </c>
      <c r="D8" s="24">
        <f t="shared" si="2"/>
        <v>97562.42</v>
      </c>
      <c r="E8" s="24">
        <f t="shared" si="2"/>
        <v>0</v>
      </c>
      <c r="F8" s="24">
        <f t="shared" si="2"/>
        <v>0</v>
      </c>
      <c r="G8" s="24">
        <f t="shared" si="2"/>
        <v>0</v>
      </c>
      <c r="H8" s="24">
        <f t="shared" si="2"/>
        <v>0</v>
      </c>
      <c r="I8" s="24">
        <f t="shared" si="2"/>
        <v>0</v>
      </c>
      <c r="J8" s="24">
        <f t="shared" si="2"/>
        <v>0</v>
      </c>
      <c r="K8" s="24">
        <f t="shared" si="2"/>
        <v>0</v>
      </c>
      <c r="L8" s="24">
        <f t="shared" si="2"/>
        <v>0</v>
      </c>
      <c r="M8" s="24">
        <f t="shared" si="2"/>
        <v>0</v>
      </c>
      <c r="N8" s="25">
        <f t="shared" si="1"/>
        <v>328967.11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  <c r="N9" s="3"/>
      <c r="O9" s="3"/>
      <c r="P9" s="3"/>
      <c r="Q9" s="3"/>
      <c r="R9" s="3"/>
      <c r="S9" s="7"/>
      <c r="T9" s="3"/>
      <c r="U9" s="3"/>
      <c r="V9" s="3"/>
      <c r="W9" s="3"/>
      <c r="X9" s="3"/>
      <c r="Y9" s="3"/>
      <c r="Z9" s="3"/>
    </row>
    <row r="10" ht="15.75" customHeight="1">
      <c r="A10" s="2"/>
      <c r="B10" s="7">
        <v>2026.0</v>
      </c>
      <c r="C10" s="7">
        <v>2026.0</v>
      </c>
      <c r="D10" s="7">
        <v>2026.0</v>
      </c>
      <c r="E10" s="7">
        <v>2026.0</v>
      </c>
      <c r="F10" s="7">
        <v>2026.0</v>
      </c>
      <c r="G10" s="7">
        <v>2026.0</v>
      </c>
      <c r="H10" s="7">
        <v>2026.0</v>
      </c>
      <c r="I10" s="7">
        <v>2026.0</v>
      </c>
      <c r="J10" s="7">
        <v>2026.0</v>
      </c>
      <c r="K10" s="7">
        <v>2026.0</v>
      </c>
      <c r="L10" s="7">
        <v>2026.0</v>
      </c>
      <c r="M10" s="7">
        <v>2026.0</v>
      </c>
      <c r="N10" s="3"/>
      <c r="O10" s="3"/>
      <c r="P10" s="3"/>
      <c r="Q10" s="3"/>
      <c r="R10" s="7"/>
      <c r="S10" s="7"/>
      <c r="T10" s="3"/>
      <c r="U10" s="3"/>
      <c r="V10" s="3"/>
      <c r="W10" s="3"/>
      <c r="X10" s="3"/>
      <c r="Y10" s="3"/>
      <c r="Z10" s="3"/>
    </row>
    <row r="11" ht="15.75" customHeight="1">
      <c r="A11" s="8" t="s">
        <v>18</v>
      </c>
      <c r="B11" s="9" t="s">
        <v>1</v>
      </c>
      <c r="C11" s="9" t="s">
        <v>2</v>
      </c>
      <c r="D11" s="9" t="s">
        <v>3</v>
      </c>
      <c r="E11" s="8" t="s">
        <v>4</v>
      </c>
      <c r="F11" s="8" t="s">
        <v>5</v>
      </c>
      <c r="G11" s="8" t="s">
        <v>6</v>
      </c>
      <c r="H11" s="8" t="s">
        <v>7</v>
      </c>
      <c r="I11" s="8" t="s">
        <v>8</v>
      </c>
      <c r="J11" s="8" t="s">
        <v>9</v>
      </c>
      <c r="K11" s="8" t="s">
        <v>10</v>
      </c>
      <c r="L11" s="8" t="s">
        <v>11</v>
      </c>
      <c r="M11" s="8" t="s">
        <v>12</v>
      </c>
      <c r="N11" s="10" t="s">
        <v>13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8" t="s">
        <v>19</v>
      </c>
      <c r="B12" s="26">
        <v>35678.87</v>
      </c>
      <c r="C12" s="26">
        <v>20391.2</v>
      </c>
      <c r="D12" s="26">
        <v>25058.93</v>
      </c>
      <c r="E12" s="27"/>
      <c r="F12" s="27"/>
      <c r="G12" s="27"/>
      <c r="H12" s="28"/>
      <c r="I12" s="27"/>
      <c r="J12" s="27"/>
      <c r="K12" s="29"/>
      <c r="L12" s="13"/>
      <c r="M12" s="30"/>
      <c r="N12" s="31">
        <f t="shared" ref="N12:N13" si="4">SUM(B12:M12)</f>
        <v>81129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23" t="s">
        <v>20</v>
      </c>
      <c r="B13" s="32">
        <f t="shared" ref="B13:M13" si="3">B8-B12</f>
        <v>91211.52</v>
      </c>
      <c r="C13" s="32">
        <f t="shared" si="3"/>
        <v>84123.1</v>
      </c>
      <c r="D13" s="32">
        <f t="shared" si="3"/>
        <v>72503.49</v>
      </c>
      <c r="E13" s="32">
        <f t="shared" si="3"/>
        <v>0</v>
      </c>
      <c r="F13" s="32">
        <f t="shared" si="3"/>
        <v>0</v>
      </c>
      <c r="G13" s="32">
        <f t="shared" si="3"/>
        <v>0</v>
      </c>
      <c r="H13" s="32">
        <f t="shared" si="3"/>
        <v>0</v>
      </c>
      <c r="I13" s="32">
        <f t="shared" si="3"/>
        <v>0</v>
      </c>
      <c r="J13" s="32">
        <f t="shared" si="3"/>
        <v>0</v>
      </c>
      <c r="K13" s="32">
        <f t="shared" si="3"/>
        <v>0</v>
      </c>
      <c r="L13" s="32">
        <f t="shared" si="3"/>
        <v>0</v>
      </c>
      <c r="M13" s="32">
        <f t="shared" si="3"/>
        <v>0</v>
      </c>
      <c r="N13" s="33">
        <f t="shared" si="4"/>
        <v>247838.11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7"/>
      <c r="K14" s="7"/>
      <c r="L14" s="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2"/>
      <c r="B15" s="7">
        <v>2026.0</v>
      </c>
      <c r="C15" s="7">
        <v>2026.0</v>
      </c>
      <c r="D15" s="7">
        <v>2026.0</v>
      </c>
      <c r="E15" s="7">
        <v>2026.0</v>
      </c>
      <c r="F15" s="7">
        <v>2026.0</v>
      </c>
      <c r="G15" s="7">
        <v>2026.0</v>
      </c>
      <c r="H15" s="7">
        <v>2026.0</v>
      </c>
      <c r="I15" s="7">
        <v>2026.0</v>
      </c>
      <c r="J15" s="7">
        <v>2026.0</v>
      </c>
      <c r="K15" s="7">
        <v>2026.0</v>
      </c>
      <c r="L15" s="7">
        <v>2026.0</v>
      </c>
      <c r="M15" s="7">
        <v>2026.0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8" t="s">
        <v>21</v>
      </c>
      <c r="B16" s="9" t="s">
        <v>1</v>
      </c>
      <c r="C16" s="9" t="s">
        <v>2</v>
      </c>
      <c r="D16" s="9" t="s">
        <v>3</v>
      </c>
      <c r="E16" s="8" t="s">
        <v>4</v>
      </c>
      <c r="F16" s="8" t="s">
        <v>5</v>
      </c>
      <c r="G16" s="8" t="s">
        <v>6</v>
      </c>
      <c r="H16" s="8" t="s">
        <v>7</v>
      </c>
      <c r="I16" s="8" t="s">
        <v>8</v>
      </c>
      <c r="J16" s="8" t="s">
        <v>9</v>
      </c>
      <c r="K16" s="8" t="s">
        <v>10</v>
      </c>
      <c r="L16" s="8" t="s">
        <v>11</v>
      </c>
      <c r="M16" s="8" t="s">
        <v>12</v>
      </c>
      <c r="N16" s="10" t="s">
        <v>13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4" t="s">
        <v>22</v>
      </c>
      <c r="B17" s="20">
        <v>0.0</v>
      </c>
      <c r="C17" s="20">
        <v>0.0</v>
      </c>
      <c r="D17" s="20">
        <v>0.0</v>
      </c>
      <c r="E17" s="20"/>
      <c r="F17" s="20"/>
      <c r="G17" s="20"/>
      <c r="H17" s="20"/>
      <c r="I17" s="20"/>
      <c r="J17" s="20"/>
      <c r="K17" s="20"/>
      <c r="L17" s="20"/>
      <c r="M17" s="20"/>
      <c r="N17" s="35">
        <f t="shared" ref="N17:N30" si="5">SUM(B17:M17)</f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6" t="s">
        <v>23</v>
      </c>
      <c r="B18" s="20">
        <v>7308.06</v>
      </c>
      <c r="C18" s="20">
        <v>2215.59</v>
      </c>
      <c r="D18" s="20">
        <v>2167.56</v>
      </c>
      <c r="E18" s="20"/>
      <c r="F18" s="20"/>
      <c r="G18" s="20"/>
      <c r="H18" s="20"/>
      <c r="I18" s="20"/>
      <c r="J18" s="20"/>
      <c r="K18" s="29"/>
      <c r="L18" s="13"/>
      <c r="M18" s="13"/>
      <c r="N18" s="35">
        <f t="shared" si="5"/>
        <v>11691.21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7" t="s">
        <v>24</v>
      </c>
      <c r="B19" s="21">
        <v>53534.22</v>
      </c>
      <c r="C19" s="21">
        <v>48554.67</v>
      </c>
      <c r="D19" s="20">
        <v>50164.16</v>
      </c>
      <c r="E19" s="20"/>
      <c r="F19" s="20"/>
      <c r="G19" s="20"/>
      <c r="H19" s="20"/>
      <c r="I19" s="20"/>
      <c r="J19" s="20"/>
      <c r="K19" s="29"/>
      <c r="L19" s="13"/>
      <c r="M19" s="13"/>
      <c r="N19" s="35">
        <f t="shared" si="5"/>
        <v>152253.05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6" t="s">
        <v>25</v>
      </c>
      <c r="B20" s="21">
        <v>0.0</v>
      </c>
      <c r="C20" s="21">
        <v>0.0</v>
      </c>
      <c r="D20" s="21">
        <v>0.0</v>
      </c>
      <c r="E20" s="20"/>
      <c r="F20" s="20"/>
      <c r="G20" s="20"/>
      <c r="H20" s="20"/>
      <c r="I20" s="20"/>
      <c r="J20" s="20"/>
      <c r="K20" s="20"/>
      <c r="L20" s="20"/>
      <c r="M20" s="20"/>
      <c r="N20" s="35">
        <f t="shared" si="5"/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7" t="s">
        <v>26</v>
      </c>
      <c r="B21" s="21">
        <v>0.0</v>
      </c>
      <c r="C21" s="21">
        <v>0.0</v>
      </c>
      <c r="D21" s="21">
        <v>0.0</v>
      </c>
      <c r="E21" s="20"/>
      <c r="F21" s="20"/>
      <c r="G21" s="20"/>
      <c r="H21" s="20"/>
      <c r="I21" s="20"/>
      <c r="J21" s="20"/>
      <c r="K21" s="20"/>
      <c r="L21" s="20"/>
      <c r="M21" s="20"/>
      <c r="N21" s="35">
        <f t="shared" si="5"/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8" t="s">
        <v>27</v>
      </c>
      <c r="B22" s="20">
        <f t="shared" ref="B22:D22" si="6">B5*0.0542</f>
        <v>7041.77511</v>
      </c>
      <c r="C22" s="20">
        <f t="shared" si="6"/>
        <v>5775.341704</v>
      </c>
      <c r="D22" s="20">
        <f t="shared" si="6"/>
        <v>5422.724092</v>
      </c>
      <c r="E22" s="20"/>
      <c r="F22" s="39"/>
      <c r="G22" s="39"/>
      <c r="H22" s="39"/>
      <c r="I22" s="40"/>
      <c r="J22" s="39"/>
      <c r="K22" s="39"/>
      <c r="L22" s="39"/>
      <c r="M22" s="39"/>
      <c r="N22" s="35">
        <f t="shared" si="5"/>
        <v>18239.84091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4" t="s">
        <v>28</v>
      </c>
      <c r="B23" s="21">
        <v>2143.09</v>
      </c>
      <c r="C23" s="21">
        <v>975.83</v>
      </c>
      <c r="D23" s="21">
        <v>0.0</v>
      </c>
      <c r="E23" s="20"/>
      <c r="F23" s="20"/>
      <c r="G23" s="20"/>
      <c r="H23" s="20"/>
      <c r="I23" s="20"/>
      <c r="J23" s="20"/>
      <c r="K23" s="20"/>
      <c r="L23" s="20"/>
      <c r="M23" s="41"/>
      <c r="N23" s="35">
        <f t="shared" si="5"/>
        <v>3118.92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4" t="s">
        <v>29</v>
      </c>
      <c r="B24" s="20">
        <v>2957.66</v>
      </c>
      <c r="C24" s="20">
        <v>2226.62</v>
      </c>
      <c r="D24" s="20">
        <v>3138.59</v>
      </c>
      <c r="E24" s="20"/>
      <c r="F24" s="20"/>
      <c r="G24" s="20"/>
      <c r="H24" s="20"/>
      <c r="I24" s="20"/>
      <c r="J24" s="20"/>
      <c r="K24" s="20"/>
      <c r="L24" s="20"/>
      <c r="M24" s="41"/>
      <c r="N24" s="35">
        <f t="shared" si="5"/>
        <v>8322.87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4" t="s">
        <v>30</v>
      </c>
      <c r="B25" s="21">
        <v>678.0</v>
      </c>
      <c r="C25" s="21">
        <v>678.0</v>
      </c>
      <c r="D25" s="21">
        <v>678.0</v>
      </c>
      <c r="E25" s="20"/>
      <c r="F25" s="20"/>
      <c r="G25" s="20"/>
      <c r="H25" s="20"/>
      <c r="I25" s="20"/>
      <c r="J25" s="20"/>
      <c r="K25" s="29"/>
      <c r="L25" s="13"/>
      <c r="M25" s="13"/>
      <c r="N25" s="35">
        <f t="shared" si="5"/>
        <v>2034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2" t="s">
        <v>31</v>
      </c>
      <c r="B26" s="21">
        <v>255.62</v>
      </c>
      <c r="C26" s="21">
        <v>251.25</v>
      </c>
      <c r="D26" s="21">
        <v>250.25</v>
      </c>
      <c r="E26" s="20"/>
      <c r="F26" s="20"/>
      <c r="G26" s="20"/>
      <c r="H26" s="20"/>
      <c r="I26" s="20"/>
      <c r="J26" s="20"/>
      <c r="K26" s="20"/>
      <c r="L26" s="20"/>
      <c r="M26" s="20"/>
      <c r="N26" s="35">
        <f t="shared" si="5"/>
        <v>757.12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2" t="s">
        <v>32</v>
      </c>
      <c r="B27" s="21">
        <v>1265.0</v>
      </c>
      <c r="C27" s="21">
        <v>894.0</v>
      </c>
      <c r="D27" s="21">
        <v>1280.5</v>
      </c>
      <c r="E27" s="20"/>
      <c r="F27" s="20"/>
      <c r="G27" s="20"/>
      <c r="H27" s="20"/>
      <c r="I27" s="20"/>
      <c r="J27" s="20"/>
      <c r="K27" s="20"/>
      <c r="L27" s="20"/>
      <c r="M27" s="20"/>
      <c r="N27" s="35">
        <f t="shared" si="5"/>
        <v>3439.5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8" t="s">
        <v>33</v>
      </c>
      <c r="B28" s="21">
        <v>975.74</v>
      </c>
      <c r="C28" s="21">
        <v>648.93</v>
      </c>
      <c r="D28" s="21">
        <v>653.14</v>
      </c>
      <c r="E28" s="20"/>
      <c r="F28" s="20"/>
      <c r="G28" s="20"/>
      <c r="H28" s="20"/>
      <c r="I28" s="20"/>
      <c r="J28" s="20"/>
      <c r="K28" s="20"/>
      <c r="L28" s="20"/>
      <c r="M28" s="20"/>
      <c r="N28" s="35">
        <f t="shared" si="5"/>
        <v>2277.81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7" t="s">
        <v>34</v>
      </c>
      <c r="B29" s="21">
        <v>0.0</v>
      </c>
      <c r="C29" s="21">
        <v>0.0</v>
      </c>
      <c r="D29" s="21">
        <v>0.0</v>
      </c>
      <c r="E29" s="20"/>
      <c r="F29" s="20"/>
      <c r="G29" s="20"/>
      <c r="H29" s="20"/>
      <c r="I29" s="20"/>
      <c r="J29" s="20"/>
      <c r="K29" s="20"/>
      <c r="L29" s="20"/>
      <c r="M29" s="20"/>
      <c r="N29" s="35">
        <f t="shared" si="5"/>
        <v>0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3" t="s">
        <v>35</v>
      </c>
      <c r="B30" s="43">
        <f t="shared" ref="B30:M30" si="7">SUM(B17:B29)</f>
        <v>76159.16511</v>
      </c>
      <c r="C30" s="43">
        <f t="shared" si="7"/>
        <v>62220.2317</v>
      </c>
      <c r="D30" s="43">
        <f t="shared" si="7"/>
        <v>63754.92409</v>
      </c>
      <c r="E30" s="43">
        <f t="shared" si="7"/>
        <v>0</v>
      </c>
      <c r="F30" s="43">
        <f t="shared" si="7"/>
        <v>0</v>
      </c>
      <c r="G30" s="43">
        <f t="shared" si="7"/>
        <v>0</v>
      </c>
      <c r="H30" s="43">
        <f t="shared" si="7"/>
        <v>0</v>
      </c>
      <c r="I30" s="43">
        <f t="shared" si="7"/>
        <v>0</v>
      </c>
      <c r="J30" s="43">
        <f t="shared" si="7"/>
        <v>0</v>
      </c>
      <c r="K30" s="43">
        <f t="shared" si="7"/>
        <v>0</v>
      </c>
      <c r="L30" s="43">
        <f t="shared" si="7"/>
        <v>0</v>
      </c>
      <c r="M30" s="43">
        <f t="shared" si="7"/>
        <v>0</v>
      </c>
      <c r="N30" s="44">
        <f t="shared" si="5"/>
        <v>202134.3209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6"/>
      <c r="B31" s="6"/>
      <c r="C31" s="6"/>
      <c r="D31" s="6"/>
      <c r="E31" s="45"/>
      <c r="F31" s="45"/>
      <c r="G31" s="45"/>
      <c r="H31" s="45"/>
      <c r="I31" s="45"/>
      <c r="J31" s="6"/>
      <c r="K31" s="6"/>
      <c r="L31" s="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8" t="s">
        <v>36</v>
      </c>
      <c r="B32" s="9" t="s">
        <v>1</v>
      </c>
      <c r="C32" s="9" t="s">
        <v>2</v>
      </c>
      <c r="D32" s="9" t="s">
        <v>3</v>
      </c>
      <c r="E32" s="8" t="s">
        <v>4</v>
      </c>
      <c r="F32" s="8" t="s">
        <v>5</v>
      </c>
      <c r="G32" s="8" t="s">
        <v>6</v>
      </c>
      <c r="H32" s="8" t="s">
        <v>7</v>
      </c>
      <c r="I32" s="8" t="s">
        <v>8</v>
      </c>
      <c r="J32" s="8" t="s">
        <v>9</v>
      </c>
      <c r="K32" s="8" t="s">
        <v>10</v>
      </c>
      <c r="L32" s="8" t="s">
        <v>11</v>
      </c>
      <c r="M32" s="8" t="s">
        <v>12</v>
      </c>
      <c r="N32" s="46" t="s">
        <v>37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3" t="s">
        <v>38</v>
      </c>
      <c r="B33" s="47">
        <f t="shared" ref="B33:M33" si="8">MINUS(B13,B30)</f>
        <v>15052.35489</v>
      </c>
      <c r="C33" s="47">
        <f t="shared" si="8"/>
        <v>21902.8683</v>
      </c>
      <c r="D33" s="47">
        <f t="shared" si="8"/>
        <v>8748.565908</v>
      </c>
      <c r="E33" s="47">
        <f t="shared" si="8"/>
        <v>0</v>
      </c>
      <c r="F33" s="47">
        <f t="shared" si="8"/>
        <v>0</v>
      </c>
      <c r="G33" s="47">
        <f t="shared" si="8"/>
        <v>0</v>
      </c>
      <c r="H33" s="47">
        <f t="shared" si="8"/>
        <v>0</v>
      </c>
      <c r="I33" s="47">
        <f t="shared" si="8"/>
        <v>0</v>
      </c>
      <c r="J33" s="47">
        <f t="shared" si="8"/>
        <v>0</v>
      </c>
      <c r="K33" s="47">
        <f t="shared" si="8"/>
        <v>0</v>
      </c>
      <c r="L33" s="47">
        <f t="shared" si="8"/>
        <v>0</v>
      </c>
      <c r="M33" s="47">
        <f t="shared" si="8"/>
        <v>0</v>
      </c>
      <c r="N33" s="48">
        <f>SUM(B33:M33)</f>
        <v>45703.78909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9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50" t="s">
        <v>39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 t="s">
        <v>24</v>
      </c>
      <c r="B37" s="51">
        <f>SUM(N19)</f>
        <v>152253.05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7"/>
      <c r="N37" s="2"/>
      <c r="O37" s="2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 t="s">
        <v>40</v>
      </c>
      <c r="B38" s="51">
        <f>SUM(N18)</f>
        <v>11691.21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7"/>
      <c r="N38" s="7"/>
      <c r="O38" s="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 t="s">
        <v>41</v>
      </c>
      <c r="B39" s="52">
        <f>sum(N17)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7"/>
      <c r="N39" s="2"/>
      <c r="O39" s="2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 t="s">
        <v>25</v>
      </c>
      <c r="B40" s="51">
        <f>SUM(N20)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7" t="s">
        <v>26</v>
      </c>
      <c r="B41" s="51">
        <f>sum(N21)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/>
      <c r="B42" s="5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5"/>
      <c r="B47" s="5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5"/>
      <c r="B48" s="54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6"/>
      <c r="B49" s="6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55"/>
      <c r="B50" s="56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5"/>
      <c r="B51" s="57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mergeCells count="1">
    <mergeCell ref="A36:B3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8.71"/>
    <col customWidth="1" min="2" max="6" width="14.43"/>
    <col customWidth="1" min="12" max="12" width="14.29"/>
    <col customWidth="1" min="14" max="14" width="24.29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6"/>
      <c r="B3" s="7">
        <v>2025.0</v>
      </c>
      <c r="C3" s="7">
        <v>2025.0</v>
      </c>
      <c r="D3" s="7">
        <v>2025.0</v>
      </c>
      <c r="E3" s="7">
        <v>2025.0</v>
      </c>
      <c r="F3" s="7">
        <v>2025.0</v>
      </c>
      <c r="G3" s="7">
        <v>2025.0</v>
      </c>
      <c r="H3" s="7">
        <v>2025.0</v>
      </c>
      <c r="I3" s="7">
        <v>2025.0</v>
      </c>
      <c r="J3" s="7">
        <v>2025.0</v>
      </c>
      <c r="K3" s="7">
        <v>2025.0</v>
      </c>
      <c r="L3" s="7">
        <v>2025.0</v>
      </c>
      <c r="M3" s="7">
        <v>2025.0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8" t="s">
        <v>0</v>
      </c>
      <c r="B4" s="9" t="s">
        <v>1</v>
      </c>
      <c r="C4" s="9" t="s">
        <v>2</v>
      </c>
      <c r="D4" s="9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10" t="s">
        <v>13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" t="s">
        <v>14</v>
      </c>
      <c r="B5" s="11">
        <v>71607.56</v>
      </c>
      <c r="C5" s="12">
        <v>107387.92</v>
      </c>
      <c r="D5" s="13">
        <v>184309.17</v>
      </c>
      <c r="E5" s="12">
        <v>195696.61</v>
      </c>
      <c r="F5" s="12">
        <v>133345.01</v>
      </c>
      <c r="G5" s="14">
        <v>97792.02</v>
      </c>
      <c r="H5" s="15">
        <v>156555.17</v>
      </c>
      <c r="I5" s="15">
        <v>143919.14</v>
      </c>
      <c r="J5" s="16">
        <v>135635.61</v>
      </c>
      <c r="K5" s="15">
        <v>137261.1</v>
      </c>
      <c r="L5" s="14">
        <v>131966.62</v>
      </c>
      <c r="M5" s="14">
        <v>140099.17</v>
      </c>
      <c r="N5" s="17">
        <f t="shared" ref="N5:N8" si="1">SUM(B5:M5)</f>
        <v>1635575.1</v>
      </c>
      <c r="O5" s="3"/>
      <c r="P5" s="7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8" t="s">
        <v>15</v>
      </c>
      <c r="B6" s="11">
        <v>252.36</v>
      </c>
      <c r="C6" s="12">
        <v>532.24</v>
      </c>
      <c r="D6" s="13">
        <v>982.34</v>
      </c>
      <c r="E6" s="12">
        <v>1041.59</v>
      </c>
      <c r="F6" s="13">
        <v>1882.34</v>
      </c>
      <c r="G6" s="12">
        <v>702.01</v>
      </c>
      <c r="H6" s="14">
        <v>1869.36</v>
      </c>
      <c r="I6" s="14">
        <v>2172.26</v>
      </c>
      <c r="J6" s="19">
        <v>2027.88</v>
      </c>
      <c r="K6" s="20">
        <v>2318.63</v>
      </c>
      <c r="L6" s="14">
        <v>2216.43</v>
      </c>
      <c r="M6" s="14">
        <v>2219.75</v>
      </c>
      <c r="N6" s="17">
        <f t="shared" si="1"/>
        <v>18217.19</v>
      </c>
      <c r="O6" s="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8" t="s">
        <v>16</v>
      </c>
      <c r="B7" s="21">
        <v>53.72</v>
      </c>
      <c r="C7" s="21">
        <v>220.81</v>
      </c>
      <c r="D7" s="21">
        <v>144.53</v>
      </c>
      <c r="E7" s="21">
        <v>390.44</v>
      </c>
      <c r="F7" s="21">
        <v>343.64</v>
      </c>
      <c r="G7" s="21">
        <v>465.82</v>
      </c>
      <c r="H7" s="21">
        <v>464.11</v>
      </c>
      <c r="I7" s="21">
        <v>453.93</v>
      </c>
      <c r="J7" s="21">
        <v>584.1</v>
      </c>
      <c r="K7" s="21">
        <v>571.51</v>
      </c>
      <c r="L7" s="21">
        <v>714.07</v>
      </c>
      <c r="M7" s="21">
        <v>548.19</v>
      </c>
      <c r="N7" s="17">
        <f t="shared" si="1"/>
        <v>4954.87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23" t="s">
        <v>17</v>
      </c>
      <c r="B8" s="24">
        <f t="shared" ref="B8:M8" si="2">B5-B6-B7</f>
        <v>71301.48</v>
      </c>
      <c r="C8" s="24">
        <f t="shared" si="2"/>
        <v>106634.87</v>
      </c>
      <c r="D8" s="24">
        <f t="shared" si="2"/>
        <v>183182.3</v>
      </c>
      <c r="E8" s="24">
        <f t="shared" si="2"/>
        <v>194264.58</v>
      </c>
      <c r="F8" s="24">
        <f t="shared" si="2"/>
        <v>131119.03</v>
      </c>
      <c r="G8" s="24">
        <f t="shared" si="2"/>
        <v>96624.19</v>
      </c>
      <c r="H8" s="24">
        <f t="shared" si="2"/>
        <v>154221.7</v>
      </c>
      <c r="I8" s="24">
        <f t="shared" si="2"/>
        <v>141292.95</v>
      </c>
      <c r="J8" s="24">
        <f t="shared" si="2"/>
        <v>133023.63</v>
      </c>
      <c r="K8" s="24">
        <f t="shared" si="2"/>
        <v>134370.96</v>
      </c>
      <c r="L8" s="24">
        <f t="shared" si="2"/>
        <v>129036.12</v>
      </c>
      <c r="M8" s="24">
        <f t="shared" si="2"/>
        <v>137331.23</v>
      </c>
      <c r="N8" s="25">
        <f t="shared" si="1"/>
        <v>1612403.04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  <c r="N9" s="3"/>
      <c r="O9" s="3"/>
      <c r="P9" s="3"/>
      <c r="Q9" s="3"/>
      <c r="R9" s="3"/>
      <c r="S9" s="7"/>
      <c r="T9" s="3"/>
      <c r="U9" s="3"/>
      <c r="V9" s="3"/>
      <c r="W9" s="3"/>
      <c r="X9" s="3"/>
      <c r="Y9" s="3"/>
      <c r="Z9" s="3"/>
    </row>
    <row r="10" ht="15.75" customHeight="1">
      <c r="A10" s="2"/>
      <c r="B10" s="7">
        <v>2025.0</v>
      </c>
      <c r="C10" s="7">
        <v>2025.0</v>
      </c>
      <c r="D10" s="7">
        <v>2025.0</v>
      </c>
      <c r="E10" s="7">
        <v>2025.0</v>
      </c>
      <c r="F10" s="7">
        <v>2025.0</v>
      </c>
      <c r="G10" s="7">
        <v>2025.0</v>
      </c>
      <c r="H10" s="7">
        <v>2025.0</v>
      </c>
      <c r="I10" s="7">
        <v>2025.0</v>
      </c>
      <c r="J10" s="7">
        <v>2025.0</v>
      </c>
      <c r="K10" s="7">
        <v>2025.0</v>
      </c>
      <c r="L10" s="7">
        <v>2025.0</v>
      </c>
      <c r="M10" s="7">
        <v>2025.0</v>
      </c>
      <c r="N10" s="3"/>
      <c r="O10" s="3"/>
      <c r="P10" s="3"/>
      <c r="Q10" s="3"/>
      <c r="R10" s="7"/>
      <c r="S10" s="7"/>
      <c r="T10" s="3"/>
      <c r="U10" s="3"/>
      <c r="V10" s="3"/>
      <c r="W10" s="3"/>
      <c r="X10" s="3"/>
      <c r="Y10" s="3"/>
      <c r="Z10" s="3"/>
    </row>
    <row r="11" ht="15.75" customHeight="1">
      <c r="A11" s="8" t="s">
        <v>18</v>
      </c>
      <c r="B11" s="9" t="s">
        <v>1</v>
      </c>
      <c r="C11" s="9" t="s">
        <v>2</v>
      </c>
      <c r="D11" s="9" t="s">
        <v>3</v>
      </c>
      <c r="E11" s="8" t="s">
        <v>4</v>
      </c>
      <c r="F11" s="8" t="s">
        <v>5</v>
      </c>
      <c r="G11" s="8" t="s">
        <v>6</v>
      </c>
      <c r="H11" s="8" t="s">
        <v>7</v>
      </c>
      <c r="I11" s="8" t="s">
        <v>8</v>
      </c>
      <c r="J11" s="8" t="s">
        <v>9</v>
      </c>
      <c r="K11" s="8" t="s">
        <v>10</v>
      </c>
      <c r="L11" s="8" t="s">
        <v>11</v>
      </c>
      <c r="M11" s="8" t="s">
        <v>12</v>
      </c>
      <c r="N11" s="10" t="s">
        <v>13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8" t="s">
        <v>19</v>
      </c>
      <c r="B12" s="26">
        <v>27333.2</v>
      </c>
      <c r="C12" s="26">
        <v>29326.37</v>
      </c>
      <c r="D12" s="26">
        <v>42188.7</v>
      </c>
      <c r="E12" s="26">
        <v>55364.36</v>
      </c>
      <c r="F12" s="26">
        <v>36175.37</v>
      </c>
      <c r="G12" s="26">
        <v>21287.24</v>
      </c>
      <c r="H12" s="21">
        <v>38716.16</v>
      </c>
      <c r="I12" s="26">
        <v>36186.17</v>
      </c>
      <c r="J12" s="26">
        <v>32385.28</v>
      </c>
      <c r="K12" s="26">
        <v>31964.7</v>
      </c>
      <c r="L12" s="21">
        <v>30844.35</v>
      </c>
      <c r="M12" s="21">
        <v>34135.95</v>
      </c>
      <c r="N12" s="31">
        <f t="shared" ref="N12:N13" si="4">SUM(B12:M12)</f>
        <v>415907.85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23" t="s">
        <v>20</v>
      </c>
      <c r="B13" s="32">
        <f t="shared" ref="B13:M13" si="3">B8-B12</f>
        <v>43968.28</v>
      </c>
      <c r="C13" s="32">
        <f t="shared" si="3"/>
        <v>77308.5</v>
      </c>
      <c r="D13" s="32">
        <f t="shared" si="3"/>
        <v>140993.6</v>
      </c>
      <c r="E13" s="32">
        <f t="shared" si="3"/>
        <v>138900.22</v>
      </c>
      <c r="F13" s="32">
        <f t="shared" si="3"/>
        <v>94943.66</v>
      </c>
      <c r="G13" s="32">
        <f t="shared" si="3"/>
        <v>75336.95</v>
      </c>
      <c r="H13" s="32">
        <f t="shared" si="3"/>
        <v>115505.54</v>
      </c>
      <c r="I13" s="32">
        <f t="shared" si="3"/>
        <v>105106.78</v>
      </c>
      <c r="J13" s="32">
        <f t="shared" si="3"/>
        <v>100638.35</v>
      </c>
      <c r="K13" s="32">
        <f t="shared" si="3"/>
        <v>102406.26</v>
      </c>
      <c r="L13" s="32">
        <f t="shared" si="3"/>
        <v>98191.77</v>
      </c>
      <c r="M13" s="32">
        <f t="shared" si="3"/>
        <v>103195.28</v>
      </c>
      <c r="N13" s="33">
        <f t="shared" si="4"/>
        <v>1196495.19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7"/>
      <c r="K14" s="7"/>
      <c r="L14" s="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2"/>
      <c r="B15" s="7">
        <v>2025.0</v>
      </c>
      <c r="C15" s="7">
        <v>2025.0</v>
      </c>
      <c r="D15" s="7">
        <v>2025.0</v>
      </c>
      <c r="E15" s="7">
        <v>2025.0</v>
      </c>
      <c r="F15" s="7">
        <v>2025.0</v>
      </c>
      <c r="G15" s="7">
        <v>2025.0</v>
      </c>
      <c r="H15" s="7">
        <v>2025.0</v>
      </c>
      <c r="I15" s="7">
        <v>2025.0</v>
      </c>
      <c r="J15" s="7">
        <v>2025.0</v>
      </c>
      <c r="K15" s="7">
        <v>2025.0</v>
      </c>
      <c r="L15" s="7">
        <v>2025.0</v>
      </c>
      <c r="M15" s="7">
        <v>2025.0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8" t="s">
        <v>21</v>
      </c>
      <c r="B16" s="9" t="s">
        <v>1</v>
      </c>
      <c r="C16" s="9" t="s">
        <v>2</v>
      </c>
      <c r="D16" s="9" t="s">
        <v>3</v>
      </c>
      <c r="E16" s="8" t="s">
        <v>4</v>
      </c>
      <c r="F16" s="8" t="s">
        <v>5</v>
      </c>
      <c r="G16" s="8" t="s">
        <v>6</v>
      </c>
      <c r="H16" s="8" t="s">
        <v>7</v>
      </c>
      <c r="I16" s="8" t="s">
        <v>8</v>
      </c>
      <c r="J16" s="8" t="s">
        <v>9</v>
      </c>
      <c r="K16" s="8" t="s">
        <v>10</v>
      </c>
      <c r="L16" s="8" t="s">
        <v>11</v>
      </c>
      <c r="M16" s="8" t="s">
        <v>12</v>
      </c>
      <c r="N16" s="10" t="s">
        <v>13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4" t="s">
        <v>22</v>
      </c>
      <c r="B17" s="20">
        <v>0.0</v>
      </c>
      <c r="C17" s="20">
        <v>0.0</v>
      </c>
      <c r="D17" s="20">
        <v>0.0</v>
      </c>
      <c r="E17" s="20">
        <v>0.0</v>
      </c>
      <c r="F17" s="20">
        <v>0.0</v>
      </c>
      <c r="G17" s="20">
        <v>0.0</v>
      </c>
      <c r="H17" s="20">
        <v>0.0</v>
      </c>
      <c r="I17" s="20">
        <v>0.0</v>
      </c>
      <c r="J17" s="20">
        <v>0.0</v>
      </c>
      <c r="K17" s="20">
        <v>0.0</v>
      </c>
      <c r="L17" s="20">
        <v>0.0</v>
      </c>
      <c r="M17" s="20">
        <v>0.0</v>
      </c>
      <c r="N17" s="35">
        <f t="shared" ref="N17:N30" si="5">SUM(B17:M17)</f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6" t="s">
        <v>23</v>
      </c>
      <c r="B18" s="21">
        <v>0.0</v>
      </c>
      <c r="C18" s="21">
        <v>1147.52</v>
      </c>
      <c r="D18" s="21">
        <v>12765.02</v>
      </c>
      <c r="E18" s="21">
        <v>31635.01</v>
      </c>
      <c r="F18" s="21">
        <v>4988.94</v>
      </c>
      <c r="G18" s="21">
        <v>4573.3</v>
      </c>
      <c r="H18" s="21">
        <v>4013.59</v>
      </c>
      <c r="I18" s="21">
        <v>489.69</v>
      </c>
      <c r="J18" s="21">
        <v>3100.2</v>
      </c>
      <c r="K18" s="26">
        <v>2208.02</v>
      </c>
      <c r="L18" s="21">
        <v>2365.63</v>
      </c>
      <c r="M18" s="21">
        <v>8699.72</v>
      </c>
      <c r="N18" s="35">
        <f t="shared" si="5"/>
        <v>75986.64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7" t="s">
        <v>24</v>
      </c>
      <c r="B19" s="21">
        <v>30301.59</v>
      </c>
      <c r="C19" s="21">
        <v>57247.26</v>
      </c>
      <c r="D19" s="21">
        <v>97344.21</v>
      </c>
      <c r="E19" s="21">
        <v>93234.92</v>
      </c>
      <c r="F19" s="21">
        <v>82172.31</v>
      </c>
      <c r="G19" s="21">
        <v>55540.12</v>
      </c>
      <c r="H19" s="21">
        <v>84476.49</v>
      </c>
      <c r="I19" s="21">
        <v>59692.72</v>
      </c>
      <c r="J19" s="21">
        <v>56807.35</v>
      </c>
      <c r="K19" s="26">
        <v>67262.72</v>
      </c>
      <c r="L19" s="21">
        <v>53537.99</v>
      </c>
      <c r="M19" s="21">
        <v>53922.77</v>
      </c>
      <c r="N19" s="35">
        <f t="shared" si="5"/>
        <v>791540.45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6" t="s">
        <v>25</v>
      </c>
      <c r="B20" s="20">
        <v>0.0</v>
      </c>
      <c r="C20" s="20">
        <v>0.0</v>
      </c>
      <c r="D20" s="20">
        <v>0.0</v>
      </c>
      <c r="E20" s="20">
        <v>0.0</v>
      </c>
      <c r="F20" s="20">
        <v>0.0</v>
      </c>
      <c r="G20" s="20">
        <v>0.0</v>
      </c>
      <c r="H20" s="20">
        <v>0.0</v>
      </c>
      <c r="I20" s="20">
        <v>0.0</v>
      </c>
      <c r="J20" s="20">
        <v>0.0</v>
      </c>
      <c r="K20" s="20">
        <v>0.0</v>
      </c>
      <c r="L20" s="20">
        <v>0.0</v>
      </c>
      <c r="M20" s="20">
        <v>0.0</v>
      </c>
      <c r="N20" s="35">
        <f t="shared" si="5"/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7" t="s">
        <v>26</v>
      </c>
      <c r="B21" s="20">
        <v>0.0</v>
      </c>
      <c r="C21" s="20">
        <v>0.0</v>
      </c>
      <c r="D21" s="20">
        <v>0.0</v>
      </c>
      <c r="E21" s="20">
        <v>0.0</v>
      </c>
      <c r="F21" s="20">
        <v>0.0</v>
      </c>
      <c r="G21" s="20">
        <v>0.0</v>
      </c>
      <c r="H21" s="20">
        <v>0.0</v>
      </c>
      <c r="I21" s="20">
        <v>0.0</v>
      </c>
      <c r="J21" s="20">
        <v>0.0</v>
      </c>
      <c r="K21" s="20">
        <v>0.0</v>
      </c>
      <c r="L21" s="20">
        <v>0.0</v>
      </c>
      <c r="M21" s="20">
        <v>0.0</v>
      </c>
      <c r="N21" s="35">
        <f t="shared" si="5"/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8" t="s">
        <v>27</v>
      </c>
      <c r="B22" s="20">
        <f t="shared" ref="B22:M22" si="6">B5*0.0542</f>
        <v>3881.129752</v>
      </c>
      <c r="C22" s="20">
        <f t="shared" si="6"/>
        <v>5820.425264</v>
      </c>
      <c r="D22" s="20">
        <f t="shared" si="6"/>
        <v>9989.557014</v>
      </c>
      <c r="E22" s="20">
        <f t="shared" si="6"/>
        <v>10606.75626</v>
      </c>
      <c r="F22" s="20">
        <f t="shared" si="6"/>
        <v>7227.299542</v>
      </c>
      <c r="G22" s="20">
        <f t="shared" si="6"/>
        <v>5300.327484</v>
      </c>
      <c r="H22" s="20">
        <f t="shared" si="6"/>
        <v>8485.290214</v>
      </c>
      <c r="I22" s="20">
        <f t="shared" si="6"/>
        <v>7800.417388</v>
      </c>
      <c r="J22" s="20">
        <f t="shared" si="6"/>
        <v>7351.450062</v>
      </c>
      <c r="K22" s="20">
        <f t="shared" si="6"/>
        <v>7439.55162</v>
      </c>
      <c r="L22" s="20">
        <f t="shared" si="6"/>
        <v>7152.590804</v>
      </c>
      <c r="M22" s="20">
        <f t="shared" si="6"/>
        <v>7593.375014</v>
      </c>
      <c r="N22" s="35">
        <f t="shared" si="5"/>
        <v>88648.17042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4" t="s">
        <v>28</v>
      </c>
      <c r="B23" s="21">
        <v>0.0</v>
      </c>
      <c r="C23" s="21">
        <v>0.0</v>
      </c>
      <c r="D23" s="21">
        <v>0.0</v>
      </c>
      <c r="E23" s="21">
        <v>0.0</v>
      </c>
      <c r="F23" s="21">
        <v>0.0</v>
      </c>
      <c r="G23" s="21">
        <v>0.0</v>
      </c>
      <c r="H23" s="21">
        <v>0.0</v>
      </c>
      <c r="I23" s="21">
        <v>0.0</v>
      </c>
      <c r="J23" s="21">
        <v>0.0</v>
      </c>
      <c r="K23" s="21">
        <v>0.0</v>
      </c>
      <c r="L23" s="21">
        <v>2530.78</v>
      </c>
      <c r="M23" s="58">
        <v>2743.37</v>
      </c>
      <c r="N23" s="35">
        <f t="shared" si="5"/>
        <v>5274.15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4" t="s">
        <v>29</v>
      </c>
      <c r="B24" s="20">
        <v>192.21</v>
      </c>
      <c r="C24" s="20">
        <v>478.08</v>
      </c>
      <c r="D24" s="20">
        <v>660.57</v>
      </c>
      <c r="E24" s="20">
        <v>1211.22</v>
      </c>
      <c r="F24" s="20">
        <v>2976.98</v>
      </c>
      <c r="G24" s="20">
        <v>585.1</v>
      </c>
      <c r="H24" s="20">
        <v>2283.47</v>
      </c>
      <c r="I24" s="20">
        <v>3108.76</v>
      </c>
      <c r="J24" s="20">
        <v>2802.2</v>
      </c>
      <c r="K24" s="20">
        <v>2894.19</v>
      </c>
      <c r="L24" s="20">
        <v>3001.37</v>
      </c>
      <c r="M24" s="41">
        <v>3750.42</v>
      </c>
      <c r="N24" s="35">
        <f t="shared" si="5"/>
        <v>23944.57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4" t="s">
        <v>30</v>
      </c>
      <c r="B25" s="21">
        <v>0.0</v>
      </c>
      <c r="C25" s="21">
        <v>146.89</v>
      </c>
      <c r="D25" s="21">
        <v>310.74</v>
      </c>
      <c r="E25" s="21">
        <v>423.75</v>
      </c>
      <c r="F25" s="21">
        <v>452.0</v>
      </c>
      <c r="G25" s="21">
        <v>480.25</v>
      </c>
      <c r="H25" s="21">
        <v>536.71</v>
      </c>
      <c r="I25" s="21">
        <v>565.0</v>
      </c>
      <c r="J25" s="21">
        <v>621.5</v>
      </c>
      <c r="K25" s="26">
        <v>621.5</v>
      </c>
      <c r="L25" s="21">
        <v>621.5</v>
      </c>
      <c r="M25" s="21">
        <v>678.0</v>
      </c>
      <c r="N25" s="35">
        <f t="shared" si="5"/>
        <v>5457.84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2" t="s">
        <v>31</v>
      </c>
      <c r="B26" s="21">
        <v>277.82</v>
      </c>
      <c r="C26" s="21">
        <v>371.25</v>
      </c>
      <c r="D26" s="21">
        <v>477.72</v>
      </c>
      <c r="E26" s="21">
        <v>262.14</v>
      </c>
      <c r="F26" s="21">
        <v>256.17</v>
      </c>
      <c r="G26" s="21">
        <v>251.72</v>
      </c>
      <c r="H26" s="21">
        <v>251.77</v>
      </c>
      <c r="I26" s="21">
        <v>252.78</v>
      </c>
      <c r="J26" s="21">
        <v>254.52</v>
      </c>
      <c r="K26" s="21">
        <v>257.72</v>
      </c>
      <c r="L26" s="21">
        <v>259.42</v>
      </c>
      <c r="M26" s="21">
        <v>254.55</v>
      </c>
      <c r="N26" s="35">
        <f t="shared" si="5"/>
        <v>3427.58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2" t="s">
        <v>32</v>
      </c>
      <c r="B27" s="21">
        <v>0.0</v>
      </c>
      <c r="C27" s="21">
        <v>0.0</v>
      </c>
      <c r="D27" s="21">
        <v>0.0</v>
      </c>
      <c r="E27" s="21">
        <v>0.0</v>
      </c>
      <c r="F27" s="21">
        <v>0.0</v>
      </c>
      <c r="G27" s="21">
        <v>0.0</v>
      </c>
      <c r="H27" s="21">
        <v>0.0</v>
      </c>
      <c r="I27" s="21">
        <v>0.0</v>
      </c>
      <c r="J27" s="21">
        <v>0.0</v>
      </c>
      <c r="K27" s="21">
        <v>467.5</v>
      </c>
      <c r="L27" s="21">
        <v>1265.0</v>
      </c>
      <c r="M27" s="21">
        <v>440.0</v>
      </c>
      <c r="N27" s="35">
        <f t="shared" si="5"/>
        <v>2172.5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8" t="s">
        <v>33</v>
      </c>
      <c r="B28" s="21">
        <v>0.0</v>
      </c>
      <c r="C28" s="21">
        <v>0.0</v>
      </c>
      <c r="D28" s="21">
        <v>0.0</v>
      </c>
      <c r="E28" s="21">
        <v>0.0</v>
      </c>
      <c r="F28" s="21">
        <v>0.0</v>
      </c>
      <c r="G28" s="21">
        <v>0.0</v>
      </c>
      <c r="H28" s="21">
        <v>0.0</v>
      </c>
      <c r="I28" s="21">
        <v>0.0</v>
      </c>
      <c r="J28" s="21">
        <v>443.45</v>
      </c>
      <c r="K28" s="21">
        <v>613.42</v>
      </c>
      <c r="L28" s="21">
        <v>891.1</v>
      </c>
      <c r="M28" s="21">
        <v>655.2</v>
      </c>
      <c r="N28" s="35">
        <f t="shared" si="5"/>
        <v>2603.17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7" t="s">
        <v>34</v>
      </c>
      <c r="B29" s="21">
        <v>0.0</v>
      </c>
      <c r="C29" s="21">
        <v>0.0</v>
      </c>
      <c r="D29" s="21">
        <v>0.0</v>
      </c>
      <c r="E29" s="21">
        <v>0.0</v>
      </c>
      <c r="F29" s="21">
        <v>0.0</v>
      </c>
      <c r="G29" s="21">
        <v>0.0</v>
      </c>
      <c r="H29" s="21">
        <v>0.0</v>
      </c>
      <c r="I29" s="21">
        <v>0.0</v>
      </c>
      <c r="J29" s="21">
        <v>0.0</v>
      </c>
      <c r="K29" s="21">
        <v>0.0</v>
      </c>
      <c r="L29" s="21">
        <v>0.0</v>
      </c>
      <c r="M29" s="21">
        <v>0.0</v>
      </c>
      <c r="N29" s="35">
        <f t="shared" si="5"/>
        <v>0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3" t="s">
        <v>35</v>
      </c>
      <c r="B30" s="43">
        <f t="shared" ref="B30:M30" si="7">SUM(B17:B29)</f>
        <v>34652.74975</v>
      </c>
      <c r="C30" s="43">
        <f t="shared" si="7"/>
        <v>65211.42526</v>
      </c>
      <c r="D30" s="43">
        <f t="shared" si="7"/>
        <v>121547.817</v>
      </c>
      <c r="E30" s="43">
        <f t="shared" si="7"/>
        <v>137373.7963</v>
      </c>
      <c r="F30" s="43">
        <f t="shared" si="7"/>
        <v>98073.69954</v>
      </c>
      <c r="G30" s="43">
        <f t="shared" si="7"/>
        <v>66730.81748</v>
      </c>
      <c r="H30" s="43">
        <f t="shared" si="7"/>
        <v>100047.3202</v>
      </c>
      <c r="I30" s="43">
        <f t="shared" si="7"/>
        <v>71909.36739</v>
      </c>
      <c r="J30" s="43">
        <f t="shared" si="7"/>
        <v>71380.67006</v>
      </c>
      <c r="K30" s="43">
        <f t="shared" si="7"/>
        <v>81764.62162</v>
      </c>
      <c r="L30" s="43">
        <f t="shared" si="7"/>
        <v>71625.3808</v>
      </c>
      <c r="M30" s="43">
        <f t="shared" si="7"/>
        <v>78737.40501</v>
      </c>
      <c r="N30" s="44">
        <f t="shared" si="5"/>
        <v>999055.0704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6"/>
      <c r="B31" s="6"/>
      <c r="C31" s="6"/>
      <c r="D31" s="6"/>
      <c r="E31" s="45"/>
      <c r="F31" s="45"/>
      <c r="G31" s="45"/>
      <c r="H31" s="45"/>
      <c r="I31" s="45"/>
      <c r="J31" s="6"/>
      <c r="K31" s="6"/>
      <c r="L31" s="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8" t="s">
        <v>36</v>
      </c>
      <c r="B32" s="9" t="s">
        <v>1</v>
      </c>
      <c r="C32" s="9" t="s">
        <v>2</v>
      </c>
      <c r="D32" s="9" t="s">
        <v>3</v>
      </c>
      <c r="E32" s="8" t="s">
        <v>4</v>
      </c>
      <c r="F32" s="8" t="s">
        <v>5</v>
      </c>
      <c r="G32" s="8" t="s">
        <v>6</v>
      </c>
      <c r="H32" s="8" t="s">
        <v>7</v>
      </c>
      <c r="I32" s="8" t="s">
        <v>8</v>
      </c>
      <c r="J32" s="8" t="s">
        <v>9</v>
      </c>
      <c r="K32" s="8" t="s">
        <v>10</v>
      </c>
      <c r="L32" s="8" t="s">
        <v>11</v>
      </c>
      <c r="M32" s="8" t="s">
        <v>12</v>
      </c>
      <c r="N32" s="46" t="s">
        <v>37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3" t="s">
        <v>38</v>
      </c>
      <c r="B33" s="47">
        <f t="shared" ref="B33:M33" si="8">MINUS(B13,B30)</f>
        <v>9315.530248</v>
      </c>
      <c r="C33" s="47">
        <f t="shared" si="8"/>
        <v>12097.07474</v>
      </c>
      <c r="D33" s="47">
        <f t="shared" si="8"/>
        <v>19445.78299</v>
      </c>
      <c r="E33" s="47">
        <f t="shared" si="8"/>
        <v>1526.423738</v>
      </c>
      <c r="F33" s="47">
        <f t="shared" si="8"/>
        <v>-3130.039542</v>
      </c>
      <c r="G33" s="47">
        <f t="shared" si="8"/>
        <v>8606.132516</v>
      </c>
      <c r="H33" s="47">
        <f t="shared" si="8"/>
        <v>15458.21979</v>
      </c>
      <c r="I33" s="47">
        <f t="shared" si="8"/>
        <v>33197.41261</v>
      </c>
      <c r="J33" s="47">
        <f t="shared" si="8"/>
        <v>29257.67994</v>
      </c>
      <c r="K33" s="47">
        <f t="shared" si="8"/>
        <v>20641.63838</v>
      </c>
      <c r="L33" s="47">
        <f t="shared" si="8"/>
        <v>26566.3892</v>
      </c>
      <c r="M33" s="47">
        <f t="shared" si="8"/>
        <v>24457.87499</v>
      </c>
      <c r="N33" s="48">
        <f>SUM(B33:M33)</f>
        <v>197440.1196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9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50" t="s">
        <v>39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 t="s">
        <v>24</v>
      </c>
      <c r="B37" s="51">
        <f>SUM(N19)</f>
        <v>791540.45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7"/>
      <c r="N37" s="2"/>
      <c r="O37" s="2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 t="s">
        <v>40</v>
      </c>
      <c r="B38" s="51">
        <f>SUM(N18)</f>
        <v>75986.64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7"/>
      <c r="N38" s="7"/>
      <c r="O38" s="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 t="s">
        <v>41</v>
      </c>
      <c r="B39" s="52">
        <f>sum(N17)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7"/>
      <c r="N39" s="2"/>
      <c r="O39" s="2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 t="s">
        <v>25</v>
      </c>
      <c r="B40" s="51">
        <f>SUM(N20)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7" t="s">
        <v>26</v>
      </c>
      <c r="B41" s="51">
        <f>sum(N21)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/>
      <c r="B42" s="5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5"/>
      <c r="B47" s="5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5"/>
      <c r="B48" s="54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6"/>
      <c r="B49" s="6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55"/>
      <c r="B50" s="56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5"/>
      <c r="B51" s="57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mergeCells count="1">
    <mergeCell ref="A36:B3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8.71"/>
    <col customWidth="1" min="2" max="6" width="14.43"/>
    <col customWidth="1" min="12" max="12" width="14.29"/>
    <col customWidth="1" min="14" max="14" width="24.29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6"/>
      <c r="B3" s="7">
        <v>2024.0</v>
      </c>
      <c r="C3" s="7">
        <v>2024.0</v>
      </c>
      <c r="D3" s="7">
        <v>2024.0</v>
      </c>
      <c r="E3" s="7">
        <v>2024.0</v>
      </c>
      <c r="F3" s="7">
        <v>2024.0</v>
      </c>
      <c r="G3" s="7">
        <v>2024.0</v>
      </c>
      <c r="H3" s="7">
        <v>2024.0</v>
      </c>
      <c r="I3" s="7">
        <v>2024.0</v>
      </c>
      <c r="J3" s="7">
        <v>2024.0</v>
      </c>
      <c r="K3" s="7">
        <v>2024.0</v>
      </c>
      <c r="L3" s="7">
        <v>2024.0</v>
      </c>
      <c r="M3" s="7">
        <v>2024.0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8" t="s">
        <v>0</v>
      </c>
      <c r="B4" s="9" t="s">
        <v>1</v>
      </c>
      <c r="C4" s="9" t="s">
        <v>2</v>
      </c>
      <c r="D4" s="9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10" t="s">
        <v>13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" t="s">
        <v>14</v>
      </c>
      <c r="B5" s="11"/>
      <c r="C5" s="12"/>
      <c r="D5" s="13"/>
      <c r="E5" s="12"/>
      <c r="F5" s="12"/>
      <c r="G5" s="14"/>
      <c r="H5" s="15"/>
      <c r="I5" s="15"/>
      <c r="J5" s="16"/>
      <c r="K5" s="15"/>
      <c r="L5" s="14"/>
      <c r="M5" s="14"/>
      <c r="N5" s="17">
        <f t="shared" ref="N5:N8" si="1">SUM(B5:M5)</f>
        <v>0</v>
      </c>
      <c r="O5" s="3"/>
      <c r="P5" s="7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8" t="s">
        <v>15</v>
      </c>
      <c r="B6" s="11"/>
      <c r="C6" s="12"/>
      <c r="D6" s="13"/>
      <c r="E6" s="12"/>
      <c r="F6" s="13"/>
      <c r="G6" s="12"/>
      <c r="H6" s="14"/>
      <c r="I6" s="14"/>
      <c r="J6" s="19"/>
      <c r="K6" s="20"/>
      <c r="L6" s="14"/>
      <c r="M6" s="14"/>
      <c r="N6" s="17">
        <f t="shared" si="1"/>
        <v>0</v>
      </c>
      <c r="O6" s="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8" t="s">
        <v>16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17">
        <f t="shared" si="1"/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23" t="s">
        <v>17</v>
      </c>
      <c r="B8" s="24">
        <f t="shared" ref="B8:M8" si="2">B5-B6-B7</f>
        <v>0</v>
      </c>
      <c r="C8" s="24">
        <f t="shared" si="2"/>
        <v>0</v>
      </c>
      <c r="D8" s="24">
        <f t="shared" si="2"/>
        <v>0</v>
      </c>
      <c r="E8" s="24">
        <f t="shared" si="2"/>
        <v>0</v>
      </c>
      <c r="F8" s="24">
        <f t="shared" si="2"/>
        <v>0</v>
      </c>
      <c r="G8" s="24">
        <f t="shared" si="2"/>
        <v>0</v>
      </c>
      <c r="H8" s="24">
        <f t="shared" si="2"/>
        <v>0</v>
      </c>
      <c r="I8" s="24">
        <f t="shared" si="2"/>
        <v>0</v>
      </c>
      <c r="J8" s="24">
        <f t="shared" si="2"/>
        <v>0</v>
      </c>
      <c r="K8" s="24">
        <f t="shared" si="2"/>
        <v>0</v>
      </c>
      <c r="L8" s="24">
        <f t="shared" si="2"/>
        <v>0</v>
      </c>
      <c r="M8" s="24">
        <f t="shared" si="2"/>
        <v>0</v>
      </c>
      <c r="N8" s="25">
        <f t="shared" si="1"/>
        <v>0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  <c r="N9" s="3"/>
      <c r="O9" s="3"/>
      <c r="P9" s="3"/>
      <c r="Q9" s="3"/>
      <c r="R9" s="3"/>
      <c r="S9" s="7"/>
      <c r="T9" s="3"/>
      <c r="U9" s="3"/>
      <c r="V9" s="3"/>
      <c r="W9" s="3"/>
      <c r="X9" s="3"/>
      <c r="Y9" s="3"/>
      <c r="Z9" s="3"/>
    </row>
    <row r="10" ht="15.75" customHeight="1">
      <c r="A10" s="2"/>
      <c r="B10" s="7">
        <v>2024.0</v>
      </c>
      <c r="C10" s="7">
        <v>2024.0</v>
      </c>
      <c r="D10" s="7">
        <v>2024.0</v>
      </c>
      <c r="E10" s="7">
        <v>2024.0</v>
      </c>
      <c r="F10" s="7">
        <v>2024.0</v>
      </c>
      <c r="G10" s="7">
        <v>2024.0</v>
      </c>
      <c r="H10" s="7">
        <v>2024.0</v>
      </c>
      <c r="I10" s="7">
        <v>2024.0</v>
      </c>
      <c r="J10" s="7">
        <v>2024.0</v>
      </c>
      <c r="K10" s="7">
        <v>2024.0</v>
      </c>
      <c r="L10" s="7">
        <v>2024.0</v>
      </c>
      <c r="M10" s="7">
        <v>2024.0</v>
      </c>
      <c r="N10" s="3"/>
      <c r="O10" s="3"/>
      <c r="P10" s="3"/>
      <c r="Q10" s="3"/>
      <c r="R10" s="7"/>
      <c r="S10" s="7"/>
      <c r="T10" s="3"/>
      <c r="U10" s="3"/>
      <c r="V10" s="3"/>
      <c r="W10" s="3"/>
      <c r="X10" s="3"/>
      <c r="Y10" s="3"/>
      <c r="Z10" s="3"/>
    </row>
    <row r="11" ht="15.75" customHeight="1">
      <c r="A11" s="8" t="s">
        <v>18</v>
      </c>
      <c r="B11" s="9" t="s">
        <v>1</v>
      </c>
      <c r="C11" s="9" t="s">
        <v>2</v>
      </c>
      <c r="D11" s="9" t="s">
        <v>3</v>
      </c>
      <c r="E11" s="8" t="s">
        <v>4</v>
      </c>
      <c r="F11" s="8" t="s">
        <v>5</v>
      </c>
      <c r="G11" s="8" t="s">
        <v>6</v>
      </c>
      <c r="H11" s="8" t="s">
        <v>7</v>
      </c>
      <c r="I11" s="8" t="s">
        <v>8</v>
      </c>
      <c r="J11" s="8" t="s">
        <v>9</v>
      </c>
      <c r="K11" s="8" t="s">
        <v>10</v>
      </c>
      <c r="L11" s="8" t="s">
        <v>11</v>
      </c>
      <c r="M11" s="8" t="s">
        <v>12</v>
      </c>
      <c r="N11" s="10" t="s">
        <v>13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8" t="s">
        <v>19</v>
      </c>
      <c r="B12" s="27"/>
      <c r="C12" s="27"/>
      <c r="D12" s="27"/>
      <c r="E12" s="27"/>
      <c r="F12" s="27"/>
      <c r="G12" s="27"/>
      <c r="H12" s="28"/>
      <c r="I12" s="27"/>
      <c r="J12" s="27"/>
      <c r="K12" s="29"/>
      <c r="L12" s="13"/>
      <c r="M12" s="30"/>
      <c r="N12" s="31">
        <f t="shared" ref="N12:N13" si="4">SUM(B12:M12)</f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23" t="s">
        <v>20</v>
      </c>
      <c r="B13" s="32">
        <f t="shared" ref="B13:M13" si="3">B8-B12</f>
        <v>0</v>
      </c>
      <c r="C13" s="32">
        <f t="shared" si="3"/>
        <v>0</v>
      </c>
      <c r="D13" s="32">
        <f t="shared" si="3"/>
        <v>0</v>
      </c>
      <c r="E13" s="32">
        <f t="shared" si="3"/>
        <v>0</v>
      </c>
      <c r="F13" s="32">
        <f t="shared" si="3"/>
        <v>0</v>
      </c>
      <c r="G13" s="32">
        <f t="shared" si="3"/>
        <v>0</v>
      </c>
      <c r="H13" s="32">
        <f t="shared" si="3"/>
        <v>0</v>
      </c>
      <c r="I13" s="32">
        <f t="shared" si="3"/>
        <v>0</v>
      </c>
      <c r="J13" s="32">
        <f t="shared" si="3"/>
        <v>0</v>
      </c>
      <c r="K13" s="32">
        <f t="shared" si="3"/>
        <v>0</v>
      </c>
      <c r="L13" s="32">
        <f t="shared" si="3"/>
        <v>0</v>
      </c>
      <c r="M13" s="32">
        <f t="shared" si="3"/>
        <v>0</v>
      </c>
      <c r="N13" s="33">
        <f t="shared" si="4"/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7"/>
      <c r="K14" s="7"/>
      <c r="L14" s="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2"/>
      <c r="B15" s="7">
        <v>2024.0</v>
      </c>
      <c r="C15" s="7">
        <v>2024.0</v>
      </c>
      <c r="D15" s="7">
        <v>2024.0</v>
      </c>
      <c r="E15" s="7">
        <v>2024.0</v>
      </c>
      <c r="F15" s="7">
        <v>2024.0</v>
      </c>
      <c r="G15" s="7">
        <v>2024.0</v>
      </c>
      <c r="H15" s="7">
        <v>2024.0</v>
      </c>
      <c r="I15" s="7">
        <v>2024.0</v>
      </c>
      <c r="J15" s="7">
        <v>2024.0</v>
      </c>
      <c r="K15" s="7">
        <v>2024.0</v>
      </c>
      <c r="L15" s="7">
        <v>2024.0</v>
      </c>
      <c r="M15" s="7">
        <v>2024.0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8" t="s">
        <v>21</v>
      </c>
      <c r="B16" s="9" t="s">
        <v>1</v>
      </c>
      <c r="C16" s="9" t="s">
        <v>2</v>
      </c>
      <c r="D16" s="9" t="s">
        <v>3</v>
      </c>
      <c r="E16" s="8" t="s">
        <v>4</v>
      </c>
      <c r="F16" s="8" t="s">
        <v>5</v>
      </c>
      <c r="G16" s="8" t="s">
        <v>6</v>
      </c>
      <c r="H16" s="8" t="s">
        <v>7</v>
      </c>
      <c r="I16" s="8" t="s">
        <v>8</v>
      </c>
      <c r="J16" s="8" t="s">
        <v>9</v>
      </c>
      <c r="K16" s="8" t="s">
        <v>10</v>
      </c>
      <c r="L16" s="8" t="s">
        <v>11</v>
      </c>
      <c r="M16" s="8" t="s">
        <v>12</v>
      </c>
      <c r="N16" s="10" t="s">
        <v>13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4" t="s">
        <v>22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35">
        <f t="shared" ref="N17:N30" si="5">SUM(B17:M17)</f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6" t="s">
        <v>23</v>
      </c>
      <c r="B18" s="20"/>
      <c r="C18" s="20"/>
      <c r="D18" s="20"/>
      <c r="E18" s="20"/>
      <c r="F18" s="20"/>
      <c r="G18" s="20"/>
      <c r="H18" s="20"/>
      <c r="I18" s="20"/>
      <c r="J18" s="20"/>
      <c r="K18" s="29"/>
      <c r="L18" s="13"/>
      <c r="M18" s="13"/>
      <c r="N18" s="35">
        <f t="shared" si="5"/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7" t="s">
        <v>24</v>
      </c>
      <c r="B19" s="20"/>
      <c r="C19" s="20"/>
      <c r="D19" s="20"/>
      <c r="E19" s="20"/>
      <c r="F19" s="20"/>
      <c r="G19" s="20"/>
      <c r="H19" s="20"/>
      <c r="I19" s="20"/>
      <c r="J19" s="20"/>
      <c r="K19" s="29"/>
      <c r="L19" s="13"/>
      <c r="M19" s="13"/>
      <c r="N19" s="35">
        <f t="shared" si="5"/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6" t="s">
        <v>25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35">
        <f t="shared" si="5"/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7" t="s">
        <v>26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35">
        <f t="shared" si="5"/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8" t="s">
        <v>27</v>
      </c>
      <c r="B22" s="20"/>
      <c r="C22" s="20"/>
      <c r="D22" s="20"/>
      <c r="E22" s="20"/>
      <c r="F22" s="39"/>
      <c r="G22" s="39"/>
      <c r="H22" s="39"/>
      <c r="I22" s="40"/>
      <c r="J22" s="39"/>
      <c r="K22" s="39"/>
      <c r="L22" s="39"/>
      <c r="M22" s="39"/>
      <c r="N22" s="35">
        <f t="shared" si="5"/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4" t="s">
        <v>28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41"/>
      <c r="N23" s="35">
        <f t="shared" si="5"/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4" t="s">
        <v>29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41"/>
      <c r="N24" s="35">
        <f t="shared" si="5"/>
        <v>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4" t="s">
        <v>30</v>
      </c>
      <c r="B25" s="20"/>
      <c r="C25" s="20"/>
      <c r="D25" s="20"/>
      <c r="E25" s="20"/>
      <c r="F25" s="20"/>
      <c r="G25" s="20"/>
      <c r="H25" s="20"/>
      <c r="I25" s="20"/>
      <c r="J25" s="20"/>
      <c r="K25" s="29"/>
      <c r="L25" s="13"/>
      <c r="M25" s="13"/>
      <c r="N25" s="35">
        <f t="shared" si="5"/>
        <v>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2" t="s">
        <v>31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35">
        <f t="shared" si="5"/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8" t="s">
        <v>33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35">
        <f t="shared" si="5"/>
        <v>0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7" t="s">
        <v>34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35">
        <f t="shared" si="5"/>
        <v>0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59" t="s">
        <v>42</v>
      </c>
      <c r="B29" s="39"/>
      <c r="C29" s="39"/>
      <c r="D29" s="39"/>
      <c r="E29" s="39"/>
      <c r="F29" s="39"/>
      <c r="G29" s="39"/>
      <c r="H29" s="39"/>
      <c r="I29" s="40"/>
      <c r="J29" s="39"/>
      <c r="K29" s="39"/>
      <c r="L29" s="39"/>
      <c r="M29" s="39"/>
      <c r="N29" s="35">
        <f t="shared" si="5"/>
        <v>0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3" t="s">
        <v>35</v>
      </c>
      <c r="B30" s="43">
        <f t="shared" ref="B30:M30" si="6">SUM(B17:B29)</f>
        <v>0</v>
      </c>
      <c r="C30" s="43">
        <f t="shared" si="6"/>
        <v>0</v>
      </c>
      <c r="D30" s="43">
        <f t="shared" si="6"/>
        <v>0</v>
      </c>
      <c r="E30" s="43">
        <f t="shared" si="6"/>
        <v>0</v>
      </c>
      <c r="F30" s="43">
        <f t="shared" si="6"/>
        <v>0</v>
      </c>
      <c r="G30" s="43">
        <f t="shared" si="6"/>
        <v>0</v>
      </c>
      <c r="H30" s="43">
        <f t="shared" si="6"/>
        <v>0</v>
      </c>
      <c r="I30" s="43">
        <f t="shared" si="6"/>
        <v>0</v>
      </c>
      <c r="J30" s="43">
        <f t="shared" si="6"/>
        <v>0</v>
      </c>
      <c r="K30" s="43">
        <f t="shared" si="6"/>
        <v>0</v>
      </c>
      <c r="L30" s="43">
        <f t="shared" si="6"/>
        <v>0</v>
      </c>
      <c r="M30" s="43">
        <f t="shared" si="6"/>
        <v>0</v>
      </c>
      <c r="N30" s="44">
        <f t="shared" si="5"/>
        <v>0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6"/>
      <c r="B31" s="6"/>
      <c r="C31" s="6"/>
      <c r="D31" s="6"/>
      <c r="E31" s="45"/>
      <c r="F31" s="45"/>
      <c r="G31" s="45"/>
      <c r="H31" s="45"/>
      <c r="I31" s="45"/>
      <c r="J31" s="6"/>
      <c r="K31" s="6"/>
      <c r="L31" s="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8" t="s">
        <v>36</v>
      </c>
      <c r="B32" s="9" t="s">
        <v>1</v>
      </c>
      <c r="C32" s="9" t="s">
        <v>2</v>
      </c>
      <c r="D32" s="9" t="s">
        <v>3</v>
      </c>
      <c r="E32" s="8" t="s">
        <v>4</v>
      </c>
      <c r="F32" s="8" t="s">
        <v>5</v>
      </c>
      <c r="G32" s="8" t="s">
        <v>6</v>
      </c>
      <c r="H32" s="8" t="s">
        <v>7</v>
      </c>
      <c r="I32" s="8" t="s">
        <v>8</v>
      </c>
      <c r="J32" s="8" t="s">
        <v>9</v>
      </c>
      <c r="K32" s="8" t="s">
        <v>10</v>
      </c>
      <c r="L32" s="8" t="s">
        <v>11</v>
      </c>
      <c r="M32" s="8" t="s">
        <v>12</v>
      </c>
      <c r="N32" s="46" t="s">
        <v>37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3" t="s">
        <v>38</v>
      </c>
      <c r="B33" s="47">
        <f t="shared" ref="B33:M33" si="7">MINUS(B13,B30)</f>
        <v>0</v>
      </c>
      <c r="C33" s="47">
        <f t="shared" si="7"/>
        <v>0</v>
      </c>
      <c r="D33" s="47">
        <f t="shared" si="7"/>
        <v>0</v>
      </c>
      <c r="E33" s="47">
        <f t="shared" si="7"/>
        <v>0</v>
      </c>
      <c r="F33" s="47">
        <f t="shared" si="7"/>
        <v>0</v>
      </c>
      <c r="G33" s="47">
        <f t="shared" si="7"/>
        <v>0</v>
      </c>
      <c r="H33" s="47">
        <f t="shared" si="7"/>
        <v>0</v>
      </c>
      <c r="I33" s="47">
        <f t="shared" si="7"/>
        <v>0</v>
      </c>
      <c r="J33" s="47">
        <f t="shared" si="7"/>
        <v>0</v>
      </c>
      <c r="K33" s="47">
        <f t="shared" si="7"/>
        <v>0</v>
      </c>
      <c r="L33" s="47">
        <f t="shared" si="7"/>
        <v>0</v>
      </c>
      <c r="M33" s="47">
        <f t="shared" si="7"/>
        <v>0</v>
      </c>
      <c r="N33" s="48">
        <f>SUM(B33:M33)</f>
        <v>0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9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50" t="s">
        <v>39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 t="s">
        <v>24</v>
      </c>
      <c r="B37" s="51">
        <f>SUM(N19)</f>
        <v>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7"/>
      <c r="N37" s="2"/>
      <c r="O37" s="2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 t="s">
        <v>40</v>
      </c>
      <c r="B38" s="51">
        <f>SUM(N18)</f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7"/>
      <c r="N38" s="7"/>
      <c r="O38" s="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 t="s">
        <v>41</v>
      </c>
      <c r="B39" s="52">
        <f>sum(N17)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7"/>
      <c r="N39" s="2"/>
      <c r="O39" s="2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 t="s">
        <v>25</v>
      </c>
      <c r="B40" s="51">
        <f>SUM(N20)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7" t="s">
        <v>26</v>
      </c>
      <c r="B41" s="51">
        <f>sum(N21)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/>
      <c r="B42" s="5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5"/>
      <c r="B47" s="5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5"/>
      <c r="B48" s="54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6"/>
      <c r="B49" s="6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55"/>
      <c r="B50" s="56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5"/>
      <c r="B51" s="57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mergeCells count="1">
    <mergeCell ref="A36:B3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8.71"/>
    <col customWidth="1" min="2" max="6" width="14.43"/>
    <col customWidth="1" min="12" max="12" width="14.29"/>
    <col customWidth="1" min="14" max="14" width="24.29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6"/>
      <c r="B3" s="7">
        <v>2023.0</v>
      </c>
      <c r="C3" s="7">
        <v>2023.0</v>
      </c>
      <c r="D3" s="7">
        <v>2023.0</v>
      </c>
      <c r="E3" s="7">
        <v>2023.0</v>
      </c>
      <c r="F3" s="7">
        <v>2023.0</v>
      </c>
      <c r="G3" s="7">
        <v>2023.0</v>
      </c>
      <c r="H3" s="7">
        <v>2023.0</v>
      </c>
      <c r="I3" s="7">
        <v>2023.0</v>
      </c>
      <c r="J3" s="7">
        <v>2023.0</v>
      </c>
      <c r="K3" s="7">
        <v>2023.0</v>
      </c>
      <c r="L3" s="7">
        <v>2023.0</v>
      </c>
      <c r="M3" s="7">
        <v>2023.0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8" t="s">
        <v>0</v>
      </c>
      <c r="B4" s="9" t="s">
        <v>1</v>
      </c>
      <c r="C4" s="9" t="s">
        <v>2</v>
      </c>
      <c r="D4" s="9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10" t="s">
        <v>13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" t="s">
        <v>14</v>
      </c>
      <c r="B5" s="11"/>
      <c r="C5" s="12"/>
      <c r="D5" s="13"/>
      <c r="E5" s="12"/>
      <c r="F5" s="12"/>
      <c r="G5" s="14"/>
      <c r="H5" s="15"/>
      <c r="I5" s="15"/>
      <c r="J5" s="16"/>
      <c r="K5" s="15"/>
      <c r="L5" s="14"/>
      <c r="M5" s="14"/>
      <c r="N5" s="17">
        <f t="shared" ref="N5:N8" si="1">SUM(B5:M5)</f>
        <v>0</v>
      </c>
      <c r="O5" s="3"/>
      <c r="P5" s="7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8" t="s">
        <v>15</v>
      </c>
      <c r="B6" s="11"/>
      <c r="C6" s="12"/>
      <c r="D6" s="13"/>
      <c r="E6" s="12"/>
      <c r="F6" s="13"/>
      <c r="G6" s="12"/>
      <c r="H6" s="14"/>
      <c r="I6" s="14"/>
      <c r="J6" s="19"/>
      <c r="K6" s="20"/>
      <c r="L6" s="14"/>
      <c r="M6" s="14"/>
      <c r="N6" s="17">
        <f t="shared" si="1"/>
        <v>0</v>
      </c>
      <c r="O6" s="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8" t="s">
        <v>16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17">
        <f t="shared" si="1"/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23" t="s">
        <v>17</v>
      </c>
      <c r="B8" s="24">
        <f t="shared" ref="B8:M8" si="2">B5-B6-B7</f>
        <v>0</v>
      </c>
      <c r="C8" s="24">
        <f t="shared" si="2"/>
        <v>0</v>
      </c>
      <c r="D8" s="24">
        <f t="shared" si="2"/>
        <v>0</v>
      </c>
      <c r="E8" s="24">
        <f t="shared" si="2"/>
        <v>0</v>
      </c>
      <c r="F8" s="24">
        <f t="shared" si="2"/>
        <v>0</v>
      </c>
      <c r="G8" s="24">
        <f t="shared" si="2"/>
        <v>0</v>
      </c>
      <c r="H8" s="24">
        <f t="shared" si="2"/>
        <v>0</v>
      </c>
      <c r="I8" s="24">
        <f t="shared" si="2"/>
        <v>0</v>
      </c>
      <c r="J8" s="24">
        <f t="shared" si="2"/>
        <v>0</v>
      </c>
      <c r="K8" s="24">
        <f t="shared" si="2"/>
        <v>0</v>
      </c>
      <c r="L8" s="24">
        <f t="shared" si="2"/>
        <v>0</v>
      </c>
      <c r="M8" s="24">
        <f t="shared" si="2"/>
        <v>0</v>
      </c>
      <c r="N8" s="25">
        <f t="shared" si="1"/>
        <v>0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  <c r="N9" s="3"/>
      <c r="O9" s="3"/>
      <c r="P9" s="3"/>
      <c r="Q9" s="3"/>
      <c r="R9" s="3"/>
      <c r="S9" s="7"/>
      <c r="T9" s="3"/>
      <c r="U9" s="3"/>
      <c r="V9" s="3"/>
      <c r="W9" s="3"/>
      <c r="X9" s="3"/>
      <c r="Y9" s="3"/>
      <c r="Z9" s="3"/>
    </row>
    <row r="10" ht="15.75" customHeight="1">
      <c r="A10" s="2"/>
      <c r="B10" s="7">
        <v>2023.0</v>
      </c>
      <c r="C10" s="7">
        <v>2023.0</v>
      </c>
      <c r="D10" s="7">
        <v>2023.0</v>
      </c>
      <c r="E10" s="7">
        <v>2023.0</v>
      </c>
      <c r="F10" s="7">
        <v>2023.0</v>
      </c>
      <c r="G10" s="7">
        <v>2023.0</v>
      </c>
      <c r="H10" s="7">
        <v>2023.0</v>
      </c>
      <c r="I10" s="7">
        <v>2023.0</v>
      </c>
      <c r="J10" s="7">
        <v>2023.0</v>
      </c>
      <c r="K10" s="7">
        <v>2023.0</v>
      </c>
      <c r="L10" s="7">
        <v>2023.0</v>
      </c>
      <c r="M10" s="7">
        <v>2023.0</v>
      </c>
      <c r="N10" s="3"/>
      <c r="O10" s="3"/>
      <c r="P10" s="3"/>
      <c r="Q10" s="3"/>
      <c r="R10" s="7"/>
      <c r="S10" s="7"/>
      <c r="T10" s="3"/>
      <c r="U10" s="3"/>
      <c r="V10" s="3"/>
      <c r="W10" s="3"/>
      <c r="X10" s="3"/>
      <c r="Y10" s="3"/>
      <c r="Z10" s="3"/>
    </row>
    <row r="11" ht="15.75" customHeight="1">
      <c r="A11" s="8" t="s">
        <v>18</v>
      </c>
      <c r="B11" s="9" t="s">
        <v>1</v>
      </c>
      <c r="C11" s="9" t="s">
        <v>2</v>
      </c>
      <c r="D11" s="9" t="s">
        <v>3</v>
      </c>
      <c r="E11" s="8" t="s">
        <v>4</v>
      </c>
      <c r="F11" s="8" t="s">
        <v>5</v>
      </c>
      <c r="G11" s="8" t="s">
        <v>6</v>
      </c>
      <c r="H11" s="8" t="s">
        <v>7</v>
      </c>
      <c r="I11" s="8" t="s">
        <v>8</v>
      </c>
      <c r="J11" s="8" t="s">
        <v>9</v>
      </c>
      <c r="K11" s="8" t="s">
        <v>10</v>
      </c>
      <c r="L11" s="8" t="s">
        <v>11</v>
      </c>
      <c r="M11" s="8" t="s">
        <v>12</v>
      </c>
      <c r="N11" s="10" t="s">
        <v>13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8" t="s">
        <v>19</v>
      </c>
      <c r="B12" s="27"/>
      <c r="C12" s="27"/>
      <c r="D12" s="27"/>
      <c r="E12" s="27"/>
      <c r="F12" s="27"/>
      <c r="G12" s="27"/>
      <c r="H12" s="28"/>
      <c r="I12" s="27"/>
      <c r="J12" s="27"/>
      <c r="K12" s="29"/>
      <c r="L12" s="13"/>
      <c r="M12" s="30"/>
      <c r="N12" s="31">
        <f t="shared" ref="N12:N13" si="4">SUM(B12:M12)</f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23" t="s">
        <v>20</v>
      </c>
      <c r="B13" s="32">
        <f t="shared" ref="B13:M13" si="3">B8-B12</f>
        <v>0</v>
      </c>
      <c r="C13" s="32">
        <f t="shared" si="3"/>
        <v>0</v>
      </c>
      <c r="D13" s="32">
        <f t="shared" si="3"/>
        <v>0</v>
      </c>
      <c r="E13" s="32">
        <f t="shared" si="3"/>
        <v>0</v>
      </c>
      <c r="F13" s="32">
        <f t="shared" si="3"/>
        <v>0</v>
      </c>
      <c r="G13" s="32">
        <f t="shared" si="3"/>
        <v>0</v>
      </c>
      <c r="H13" s="32">
        <f t="shared" si="3"/>
        <v>0</v>
      </c>
      <c r="I13" s="32">
        <f t="shared" si="3"/>
        <v>0</v>
      </c>
      <c r="J13" s="32">
        <f t="shared" si="3"/>
        <v>0</v>
      </c>
      <c r="K13" s="32">
        <f t="shared" si="3"/>
        <v>0</v>
      </c>
      <c r="L13" s="32">
        <f t="shared" si="3"/>
        <v>0</v>
      </c>
      <c r="M13" s="32">
        <f t="shared" si="3"/>
        <v>0</v>
      </c>
      <c r="N13" s="33">
        <f t="shared" si="4"/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7"/>
      <c r="K14" s="7"/>
      <c r="L14" s="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2"/>
      <c r="B15" s="7">
        <v>2023.0</v>
      </c>
      <c r="C15" s="7">
        <v>2023.0</v>
      </c>
      <c r="D15" s="7">
        <v>2023.0</v>
      </c>
      <c r="E15" s="7">
        <v>2023.0</v>
      </c>
      <c r="F15" s="7">
        <v>2023.0</v>
      </c>
      <c r="G15" s="7">
        <v>2023.0</v>
      </c>
      <c r="H15" s="7">
        <v>2023.0</v>
      </c>
      <c r="I15" s="7">
        <v>2023.0</v>
      </c>
      <c r="J15" s="7">
        <v>2023.0</v>
      </c>
      <c r="K15" s="7">
        <v>2023.0</v>
      </c>
      <c r="L15" s="7">
        <v>2023.0</v>
      </c>
      <c r="M15" s="7">
        <v>2023.0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8" t="s">
        <v>21</v>
      </c>
      <c r="B16" s="9" t="s">
        <v>1</v>
      </c>
      <c r="C16" s="9" t="s">
        <v>2</v>
      </c>
      <c r="D16" s="9" t="s">
        <v>3</v>
      </c>
      <c r="E16" s="8" t="s">
        <v>4</v>
      </c>
      <c r="F16" s="8" t="s">
        <v>5</v>
      </c>
      <c r="G16" s="8" t="s">
        <v>6</v>
      </c>
      <c r="H16" s="8" t="s">
        <v>7</v>
      </c>
      <c r="I16" s="8" t="s">
        <v>8</v>
      </c>
      <c r="J16" s="8" t="s">
        <v>9</v>
      </c>
      <c r="K16" s="8" t="s">
        <v>10</v>
      </c>
      <c r="L16" s="8" t="s">
        <v>11</v>
      </c>
      <c r="M16" s="8" t="s">
        <v>12</v>
      </c>
      <c r="N16" s="10" t="s">
        <v>13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4" t="s">
        <v>22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35">
        <f t="shared" ref="N17:N30" si="5">SUM(B17:M17)</f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6" t="s">
        <v>23</v>
      </c>
      <c r="B18" s="20"/>
      <c r="C18" s="20"/>
      <c r="D18" s="20"/>
      <c r="E18" s="20"/>
      <c r="F18" s="20"/>
      <c r="G18" s="20"/>
      <c r="H18" s="20"/>
      <c r="I18" s="20"/>
      <c r="J18" s="20"/>
      <c r="K18" s="29"/>
      <c r="L18" s="13"/>
      <c r="M18" s="13"/>
      <c r="N18" s="35">
        <f t="shared" si="5"/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7" t="s">
        <v>24</v>
      </c>
      <c r="B19" s="20"/>
      <c r="C19" s="20"/>
      <c r="D19" s="20"/>
      <c r="E19" s="20"/>
      <c r="F19" s="20"/>
      <c r="G19" s="20"/>
      <c r="H19" s="20"/>
      <c r="I19" s="20"/>
      <c r="J19" s="20"/>
      <c r="K19" s="29"/>
      <c r="L19" s="13"/>
      <c r="M19" s="13"/>
      <c r="N19" s="35">
        <f t="shared" si="5"/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6" t="s">
        <v>25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35">
        <f t="shared" si="5"/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7" t="s">
        <v>26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35">
        <f t="shared" si="5"/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8" t="s">
        <v>27</v>
      </c>
      <c r="B22" s="20"/>
      <c r="C22" s="20"/>
      <c r="D22" s="20"/>
      <c r="E22" s="20"/>
      <c r="F22" s="39"/>
      <c r="G22" s="39"/>
      <c r="H22" s="39"/>
      <c r="I22" s="40"/>
      <c r="J22" s="39"/>
      <c r="K22" s="39"/>
      <c r="L22" s="39"/>
      <c r="M22" s="39"/>
      <c r="N22" s="35">
        <f t="shared" si="5"/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4" t="s">
        <v>28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41"/>
      <c r="N23" s="35">
        <f t="shared" si="5"/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4" t="s">
        <v>29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41"/>
      <c r="N24" s="35">
        <f t="shared" si="5"/>
        <v>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4" t="s">
        <v>30</v>
      </c>
      <c r="B25" s="20"/>
      <c r="C25" s="20"/>
      <c r="D25" s="20"/>
      <c r="E25" s="20"/>
      <c r="F25" s="20"/>
      <c r="G25" s="20"/>
      <c r="H25" s="20"/>
      <c r="I25" s="20"/>
      <c r="J25" s="20"/>
      <c r="K25" s="29"/>
      <c r="L25" s="13"/>
      <c r="M25" s="13"/>
      <c r="N25" s="35">
        <f t="shared" si="5"/>
        <v>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2" t="s">
        <v>31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35">
        <f t="shared" si="5"/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8" t="s">
        <v>33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35">
        <f t="shared" si="5"/>
        <v>0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7" t="s">
        <v>34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35">
        <f t="shared" si="5"/>
        <v>0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59" t="s">
        <v>42</v>
      </c>
      <c r="B29" s="39"/>
      <c r="C29" s="39"/>
      <c r="D29" s="39"/>
      <c r="E29" s="39"/>
      <c r="F29" s="39"/>
      <c r="G29" s="39"/>
      <c r="H29" s="39"/>
      <c r="I29" s="40"/>
      <c r="J29" s="39"/>
      <c r="K29" s="39"/>
      <c r="L29" s="39"/>
      <c r="M29" s="39"/>
      <c r="N29" s="35">
        <f t="shared" si="5"/>
        <v>0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3" t="s">
        <v>35</v>
      </c>
      <c r="B30" s="43">
        <f t="shared" ref="B30:M30" si="6">SUM(B17:B29)</f>
        <v>0</v>
      </c>
      <c r="C30" s="43">
        <f t="shared" si="6"/>
        <v>0</v>
      </c>
      <c r="D30" s="43">
        <f t="shared" si="6"/>
        <v>0</v>
      </c>
      <c r="E30" s="43">
        <f t="shared" si="6"/>
        <v>0</v>
      </c>
      <c r="F30" s="43">
        <f t="shared" si="6"/>
        <v>0</v>
      </c>
      <c r="G30" s="43">
        <f t="shared" si="6"/>
        <v>0</v>
      </c>
      <c r="H30" s="43">
        <f t="shared" si="6"/>
        <v>0</v>
      </c>
      <c r="I30" s="43">
        <f t="shared" si="6"/>
        <v>0</v>
      </c>
      <c r="J30" s="43">
        <f t="shared" si="6"/>
        <v>0</v>
      </c>
      <c r="K30" s="43">
        <f t="shared" si="6"/>
        <v>0</v>
      </c>
      <c r="L30" s="43">
        <f t="shared" si="6"/>
        <v>0</v>
      </c>
      <c r="M30" s="43">
        <f t="shared" si="6"/>
        <v>0</v>
      </c>
      <c r="N30" s="44">
        <f t="shared" si="5"/>
        <v>0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6"/>
      <c r="B31" s="6"/>
      <c r="C31" s="6"/>
      <c r="D31" s="6"/>
      <c r="E31" s="45"/>
      <c r="F31" s="45"/>
      <c r="G31" s="45"/>
      <c r="H31" s="45"/>
      <c r="I31" s="45"/>
      <c r="J31" s="6"/>
      <c r="K31" s="6"/>
      <c r="L31" s="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8" t="s">
        <v>36</v>
      </c>
      <c r="B32" s="9" t="s">
        <v>1</v>
      </c>
      <c r="C32" s="9" t="s">
        <v>2</v>
      </c>
      <c r="D32" s="9" t="s">
        <v>3</v>
      </c>
      <c r="E32" s="8" t="s">
        <v>4</v>
      </c>
      <c r="F32" s="8" t="s">
        <v>5</v>
      </c>
      <c r="G32" s="8" t="s">
        <v>6</v>
      </c>
      <c r="H32" s="8" t="s">
        <v>7</v>
      </c>
      <c r="I32" s="8" t="s">
        <v>8</v>
      </c>
      <c r="J32" s="8" t="s">
        <v>9</v>
      </c>
      <c r="K32" s="8" t="s">
        <v>10</v>
      </c>
      <c r="L32" s="8" t="s">
        <v>11</v>
      </c>
      <c r="M32" s="8" t="s">
        <v>12</v>
      </c>
      <c r="N32" s="46" t="s">
        <v>37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3" t="s">
        <v>38</v>
      </c>
      <c r="B33" s="47">
        <f t="shared" ref="B33:M33" si="7">MINUS(B13,B30)</f>
        <v>0</v>
      </c>
      <c r="C33" s="47">
        <f t="shared" si="7"/>
        <v>0</v>
      </c>
      <c r="D33" s="47">
        <f t="shared" si="7"/>
        <v>0</v>
      </c>
      <c r="E33" s="47">
        <f t="shared" si="7"/>
        <v>0</v>
      </c>
      <c r="F33" s="47">
        <f t="shared" si="7"/>
        <v>0</v>
      </c>
      <c r="G33" s="47">
        <f t="shared" si="7"/>
        <v>0</v>
      </c>
      <c r="H33" s="47">
        <f t="shared" si="7"/>
        <v>0</v>
      </c>
      <c r="I33" s="47">
        <f t="shared" si="7"/>
        <v>0</v>
      </c>
      <c r="J33" s="47">
        <f t="shared" si="7"/>
        <v>0</v>
      </c>
      <c r="K33" s="47">
        <f t="shared" si="7"/>
        <v>0</v>
      </c>
      <c r="L33" s="47">
        <f t="shared" si="7"/>
        <v>0</v>
      </c>
      <c r="M33" s="47">
        <f t="shared" si="7"/>
        <v>0</v>
      </c>
      <c r="N33" s="48">
        <f>SUM(B33:M33)</f>
        <v>0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9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50" t="s">
        <v>39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 t="s">
        <v>24</v>
      </c>
      <c r="B37" s="51">
        <f>SUM(N19)</f>
        <v>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7"/>
      <c r="N37" s="2"/>
      <c r="O37" s="2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 t="s">
        <v>40</v>
      </c>
      <c r="B38" s="51">
        <f>SUM(N18)</f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7"/>
      <c r="N38" s="7"/>
      <c r="O38" s="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 t="s">
        <v>41</v>
      </c>
      <c r="B39" s="52">
        <f>sum(N17)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7"/>
      <c r="N39" s="2"/>
      <c r="O39" s="2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 t="s">
        <v>25</v>
      </c>
      <c r="B40" s="51">
        <f>SUM(N20)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7" t="s">
        <v>26</v>
      </c>
      <c r="B41" s="51">
        <f>sum(N21)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/>
      <c r="B42" s="5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5"/>
      <c r="B47" s="5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5"/>
      <c r="B48" s="54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6"/>
      <c r="B49" s="6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55"/>
      <c r="B50" s="56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5"/>
      <c r="B51" s="57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mergeCells count="1">
    <mergeCell ref="A36:B3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