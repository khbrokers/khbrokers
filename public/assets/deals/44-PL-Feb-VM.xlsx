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4" sheetId="2" r:id="rId6"/>
    <sheet state="visible" name="2023" sheetId="3" r:id="rId7"/>
  </sheets>
  <definedNames>
    <definedName hidden="1" localSheetId="1" name="_xlnm._FilterDatabase">'2024'!$L$21:$L$30</definedName>
    <definedName hidden="1" localSheetId="2" name="_xlnm._FilterDatabase">'2023'!$L$21:$L$30</definedName>
  </definedNames>
  <calcPr/>
</workbook>
</file>

<file path=xl/sharedStrings.xml><?xml version="1.0" encoding="utf-8"?>
<sst xmlns="http://schemas.openxmlformats.org/spreadsheetml/2006/main" count="252" uniqueCount="45">
  <si>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</si>
  <si>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</si>
  <si>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</si>
  <si>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</si>
  <si>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</si>
  <si>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</si>
  <si>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</si>
  <si>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</si>
  <si>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</si>
  <si>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</si>
  <si>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</si>
  <si>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</si>
  <si>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</si>
  <si>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</si>
  <si>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</si>
  <si>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</si>
  <si>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</si>
  <si>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</si>
  <si>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</si>
  <si>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</si>
  <si>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</si>
  <si>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</si>
  <si>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</si>
  <si>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Google</t>
  </si>
  <si>
    <t>Facebook</t>
  </si>
  <si>
    <t>Processing Fees</t>
  </si>
  <si>
    <t>1074,66</t>
  </si>
  <si>
    <t>548,87</t>
  </si>
  <si>
    <t xml:space="preserve">Shopify Bill </t>
  </si>
  <si>
    <t>(Klaviyo, TripleWhale)</t>
  </si>
  <si>
    <t>Virtual Assistant(s)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</si>
  <si>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</si>
  <si>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</si>
  <si>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</si>
  <si>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</si>
  <si>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</si>
  <si>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</si>
  <si>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</si>
  <si>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Snapchat</t>
  </si>
  <si>
    <t>Pinterest</t>
  </si>
  <si>
    <t>TikTok</t>
  </si>
  <si>
    <t>Content Costs</t>
  </si>
  <si>
    <t xml:space="preserve">3rd Party Softwares </t>
  </si>
  <si>
    <t>Email Agency</t>
  </si>
  <si>
    <t>*ADD MORE ROWS IF NEEDED*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</si>
</sst>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2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b/>
      <color theme="1"/>
      <name val="Montserrat"/>
    </font>
    <font>
      <color rgb="FF000000"/>
      <name val="Montserrat"/>
    </font>
    <font>
      <b/>
      <sz val="10.0"/>
      <color theme="1"/>
      <name val="Montserrat"/>
    </font>
    <font>
      <sz val="10.0"/>
      <color rgb="FFFF0000"/>
      <name val="Montserrat"/>
    </font>
    <font>
      <sz val="10.0"/>
      <color rgb="FF30303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6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5" numFmtId="164" xfId="0" applyAlignment="1" applyFont="1" applyNumberFormat="1">
      <alignment horizontal="right" readingOrder="0" shrinkToFit="0" wrapText="0"/>
    </xf>
    <xf borderId="0" fillId="0" fontId="5" numFmtId="164" xfId="0" applyAlignment="1" applyFont="1" applyNumberFormat="1">
      <alignment horizontal="right" readingOrder="0"/>
    </xf>
    <xf borderId="0" fillId="3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shrinkToFit="0" wrapText="0"/>
    </xf>
    <xf borderId="0" fillId="3" fontId="7" numFmtId="0" xfId="0" applyAlignment="1" applyFont="1">
      <alignment vertical="bottom"/>
    </xf>
    <xf borderId="0" fillId="4" fontId="7" numFmtId="164" xfId="0" applyAlignment="1" applyFill="1" applyFont="1" applyNumberFormat="1">
      <alignment readingOrder="0" shrinkToFit="0" wrapText="0"/>
    </xf>
    <xf borderId="0" fillId="4" fontId="7" numFmtId="164" xfId="0" applyAlignment="1" applyFont="1" applyNumberFormat="1">
      <alignment readingOrder="0" vertical="bottom"/>
    </xf>
    <xf borderId="0" fillId="5" fontId="6" numFmtId="164" xfId="0" applyAlignment="1" applyFill="1" applyFont="1" applyNumberFormat="1">
      <alignment horizontal="right" readingOrder="0" vertical="bottom"/>
    </xf>
    <xf borderId="0" fillId="0" fontId="8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3" fontId="5" numFmtId="164" xfId="0" applyAlignment="1" applyFont="1" applyNumberFormat="1">
      <alignment horizontal="right" readingOrder="0" vertical="bottom"/>
    </xf>
    <xf borderId="0" fillId="3" fontId="9" numFmtId="164" xfId="0" applyAlignment="1" applyFont="1" applyNumberFormat="1">
      <alignment horizontal="right" vertical="bottom"/>
    </xf>
    <xf borderId="0" fillId="3" fontId="9" numFmtId="164" xfId="0" applyAlignment="1" applyFont="1" applyNumberFormat="1">
      <alignment readingOrder="0" vertical="bottom"/>
    </xf>
    <xf borderId="0" fillId="0" fontId="5" numFmtId="0" xfId="0" applyFont="1"/>
    <xf borderId="0" fillId="0" fontId="10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5" fontId="5" numFmtId="164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/>
    </xf>
    <xf borderId="0" fillId="3" fontId="5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readingOrder="0" vertical="bottom"/>
    </xf>
    <xf borderId="0" fillId="5" fontId="11" numFmtId="164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3" fontId="9" numFmtId="165" xfId="0" applyAlignment="1" applyFont="1" applyNumberFormat="1">
      <alignment horizontal="right" vertical="bottom"/>
    </xf>
    <xf borderId="0" fillId="3" fontId="9" numFmtId="165" xfId="0" applyAlignment="1" applyFont="1" applyNumberFormat="1">
      <alignment horizontal="right" readingOrder="0" vertical="bottom"/>
    </xf>
    <xf borderId="0" fillId="5" fontId="2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3" fontId="7" numFmtId="165" xfId="0" applyAlignment="1" applyFont="1" applyNumberFormat="1">
      <alignment horizontal="right" vertical="bottom"/>
    </xf>
    <xf borderId="0" fillId="3" fontId="7" numFmtId="165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2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5" fontId="8" numFmtId="0" xfId="0" applyAlignment="1" applyFont="1">
      <alignment vertical="bottom"/>
    </xf>
    <xf borderId="0" fillId="5" fontId="8" numFmtId="165" xfId="0" applyAlignment="1" applyFont="1" applyNumberFormat="1">
      <alignment horizontal="right" vertical="bottom"/>
    </xf>
    <xf borderId="0" fillId="5" fontId="2" numFmtId="4" xfId="0" applyAlignment="1" applyFont="1" applyNumberFormat="1">
      <alignment horizontal="right" vertical="bottom"/>
    </xf>
    <xf borderId="0" fillId="6" fontId="11" numFmtId="164" xfId="0" applyAlignment="1" applyFill="1" applyFont="1" applyNumberFormat="1">
      <alignment horizontal="right" readingOrder="0" shrinkToFit="0" wrapText="0"/>
    </xf>
    <xf borderId="0" fillId="6" fontId="11" numFmtId="164" xfId="0" applyAlignment="1" applyFont="1" applyNumberFormat="1">
      <alignment horizontal="right" readingOrder="0"/>
    </xf>
    <xf borderId="0" fillId="5" fontId="11" numFmtId="164" xfId="0" applyAlignment="1" applyFont="1" applyNumberFormat="1">
      <alignment horizontal="right" readingOrder="0"/>
    </xf>
    <xf borderId="0" fillId="5" fontId="6" numFmtId="164" xfId="0" applyAlignment="1" applyFont="1" applyNumberFormat="1">
      <alignment horizontal="right" readingOrder="0"/>
    </xf>
    <xf borderId="0" fillId="5" fontId="11" numFmtId="164" xfId="0" applyAlignment="1" applyFont="1" applyNumberFormat="1">
      <alignment readingOrder="0" shrinkToFit="0" wrapText="0"/>
    </xf>
    <xf borderId="0" fillId="5" fontId="5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/>
    </xf>
    <xf borderId="0" fillId="0" fontId="5" numFmtId="164" xfId="0" applyAlignment="1" applyFont="1" applyNumberFormat="1">
      <alignment readingOrder="0" vertical="bottom"/>
    </xf>
    <xf borderId="0" fillId="5" fontId="11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'2025'!$A$30:$A$34</c:f>
            </c:strRef>
          </c:cat>
          <c:val>
            <c:numRef>
              <c:f>'2025'!$B$30:$B$34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28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962025</xdr:colOff>
      <xdr:row>16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6" max="16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7">
        <v>2026.0</v>
      </c>
      <c r="O3" s="7">
        <v>2026.0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9" t="s">
        <v>1</v>
      </c>
      <c r="O4" s="9" t="s">
        <v>13</v>
      </c>
      <c r="P4" s="10" t="s">
        <v>14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6" t="s">
        <v>15</v>
      </c>
      <c r="B5" s="11"/>
      <c r="C5" s="12"/>
      <c r="D5" s="13"/>
      <c r="E5" s="12"/>
      <c r="F5" s="12"/>
      <c r="G5" s="14">
        <v>7330.11</v>
      </c>
      <c r="H5" s="15">
        <v>65661.05</v>
      </c>
      <c r="I5" s="15">
        <v>70588.73</v>
      </c>
      <c r="J5" s="15">
        <v>100887.07</v>
      </c>
      <c r="K5" s="15">
        <v>75355.28</v>
      </c>
      <c r="L5" s="14">
        <v>55028.98</v>
      </c>
      <c r="M5" s="14">
        <v>24426.74</v>
      </c>
      <c r="N5" s="14">
        <v>20609.81</v>
      </c>
      <c r="O5" s="14">
        <v>13721.91</v>
      </c>
      <c r="P5" s="16">
        <f t="shared" ref="P5:P6" si="1">SUM(B5:O5)</f>
        <v>433609.68</v>
      </c>
      <c r="Q5" s="3"/>
      <c r="R5" s="7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17" t="s">
        <v>16</v>
      </c>
      <c r="B6" s="11"/>
      <c r="C6" s="12"/>
      <c r="D6" s="13"/>
      <c r="E6" s="12"/>
      <c r="F6" s="13"/>
      <c r="G6" s="18">
        <v>0.0</v>
      </c>
      <c r="H6" s="14">
        <v>104.11</v>
      </c>
      <c r="I6" s="14">
        <v>156.99</v>
      </c>
      <c r="J6" s="11">
        <v>546.65</v>
      </c>
      <c r="K6" s="18">
        <v>432.41</v>
      </c>
      <c r="L6" s="14">
        <v>388.01</v>
      </c>
      <c r="M6" s="14">
        <v>946.49</v>
      </c>
      <c r="N6" s="14">
        <v>281.85</v>
      </c>
      <c r="O6" s="14">
        <v>438.96</v>
      </c>
      <c r="P6" s="16">
        <f t="shared" si="1"/>
        <v>3295.47</v>
      </c>
      <c r="Q6" s="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17" t="s">
        <v>17</v>
      </c>
      <c r="B7" s="19"/>
      <c r="C7" s="19"/>
      <c r="D7" s="19"/>
      <c r="E7" s="19"/>
      <c r="F7" s="19"/>
      <c r="G7" s="19">
        <v>0.0</v>
      </c>
      <c r="H7" s="19">
        <v>0.0</v>
      </c>
      <c r="I7" s="19">
        <v>0.0</v>
      </c>
      <c r="J7" s="19">
        <v>0.0</v>
      </c>
      <c r="K7" s="19">
        <v>0.0</v>
      </c>
      <c r="L7" s="19">
        <v>0.0</v>
      </c>
      <c r="M7" s="19">
        <v>0.0</v>
      </c>
      <c r="N7" s="14">
        <v>281.85</v>
      </c>
      <c r="O7" s="14">
        <v>0.0</v>
      </c>
      <c r="P7" s="16">
        <f t="shared" ref="P7:P8" si="3">SUM(B7:M7)</f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20" t="s">
        <v>18</v>
      </c>
      <c r="B8" s="21">
        <f t="shared" ref="B8:O8" si="2">B5-B6-B7</f>
        <v>0</v>
      </c>
      <c r="C8" s="21">
        <f t="shared" si="2"/>
        <v>0</v>
      </c>
      <c r="D8" s="21">
        <f t="shared" si="2"/>
        <v>0</v>
      </c>
      <c r="E8" s="21">
        <f t="shared" si="2"/>
        <v>0</v>
      </c>
      <c r="F8" s="21">
        <f t="shared" si="2"/>
        <v>0</v>
      </c>
      <c r="G8" s="21">
        <f t="shared" si="2"/>
        <v>7330.11</v>
      </c>
      <c r="H8" s="21">
        <f t="shared" si="2"/>
        <v>65556.94</v>
      </c>
      <c r="I8" s="21">
        <f t="shared" si="2"/>
        <v>70431.74</v>
      </c>
      <c r="J8" s="21">
        <f t="shared" si="2"/>
        <v>100340.42</v>
      </c>
      <c r="K8" s="21">
        <f t="shared" si="2"/>
        <v>74922.87</v>
      </c>
      <c r="L8" s="21">
        <f t="shared" si="2"/>
        <v>54640.97</v>
      </c>
      <c r="M8" s="21">
        <f t="shared" si="2"/>
        <v>23480.25</v>
      </c>
      <c r="N8" s="21">
        <f t="shared" si="2"/>
        <v>20046.11</v>
      </c>
      <c r="O8" s="21">
        <f t="shared" si="2"/>
        <v>13282.95</v>
      </c>
      <c r="P8" s="22">
        <f t="shared" si="3"/>
        <v>396703.3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7"/>
      <c r="V9" s="3"/>
      <c r="W9" s="3"/>
      <c r="X9" s="3"/>
      <c r="Y9" s="3"/>
      <c r="Z9" s="3"/>
      <c r="AA9" s="3"/>
      <c r="AB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7">
        <v>2026.0</v>
      </c>
      <c r="O10" s="7">
        <v>2026.0</v>
      </c>
      <c r="P10" s="3"/>
      <c r="Q10" s="3"/>
      <c r="R10" s="3"/>
      <c r="S10" s="3"/>
      <c r="T10" s="7"/>
      <c r="U10" s="7"/>
      <c r="V10" s="3"/>
      <c r="W10" s="3"/>
      <c r="X10" s="3"/>
      <c r="Y10" s="3"/>
      <c r="Z10" s="3"/>
      <c r="AA10" s="3"/>
      <c r="AB10" s="3"/>
    </row>
    <row r="11" ht="15.75" customHeight="1">
      <c r="A11" s="8" t="s">
        <v>19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9" t="s">
        <v>1</v>
      </c>
      <c r="O11" s="9" t="s">
        <v>13</v>
      </c>
      <c r="P11" s="10" t="s">
        <v>14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17" t="s">
        <v>20</v>
      </c>
      <c r="B12" s="23"/>
      <c r="C12" s="23"/>
      <c r="D12" s="23"/>
      <c r="E12" s="23"/>
      <c r="F12" s="23"/>
      <c r="G12" s="24">
        <v>2162.58</v>
      </c>
      <c r="H12" s="24">
        <v>19332.5</v>
      </c>
      <c r="I12" s="24">
        <v>19794.0</v>
      </c>
      <c r="J12" s="24">
        <v>27204.29</v>
      </c>
      <c r="K12" s="24">
        <v>19914.46</v>
      </c>
      <c r="L12" s="24">
        <v>13213.76</v>
      </c>
      <c r="M12" s="25">
        <v>5523.24</v>
      </c>
      <c r="N12" s="25">
        <v>4660.0</v>
      </c>
      <c r="O12" s="25">
        <v>3604.95</v>
      </c>
      <c r="P12" s="26">
        <f>SUM(B12:O12)</f>
        <v>115409.78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20" t="s">
        <v>21</v>
      </c>
      <c r="B13" s="27">
        <f t="shared" ref="B13:O13" si="4">B8-B12</f>
        <v>0</v>
      </c>
      <c r="C13" s="27">
        <f t="shared" si="4"/>
        <v>0</v>
      </c>
      <c r="D13" s="27">
        <f t="shared" si="4"/>
        <v>0</v>
      </c>
      <c r="E13" s="27">
        <f t="shared" si="4"/>
        <v>0</v>
      </c>
      <c r="F13" s="27">
        <f t="shared" si="4"/>
        <v>0</v>
      </c>
      <c r="G13" s="27">
        <f t="shared" si="4"/>
        <v>5167.53</v>
      </c>
      <c r="H13" s="27">
        <f t="shared" si="4"/>
        <v>46224.44</v>
      </c>
      <c r="I13" s="27">
        <f t="shared" si="4"/>
        <v>50637.74</v>
      </c>
      <c r="J13" s="27">
        <f t="shared" si="4"/>
        <v>73136.13</v>
      </c>
      <c r="K13" s="27">
        <f t="shared" si="4"/>
        <v>55008.41</v>
      </c>
      <c r="L13" s="27">
        <f t="shared" si="4"/>
        <v>41427.21</v>
      </c>
      <c r="M13" s="27">
        <f t="shared" si="4"/>
        <v>17957.01</v>
      </c>
      <c r="N13" s="27">
        <f t="shared" si="4"/>
        <v>15386.11</v>
      </c>
      <c r="O13" s="27">
        <f t="shared" si="4"/>
        <v>9678</v>
      </c>
      <c r="P13" s="28">
        <f>SUM(B13:M13)</f>
        <v>289558.47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7">
        <v>2026.0</v>
      </c>
      <c r="O15" s="7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8" t="s">
        <v>22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9" t="s">
        <v>1</v>
      </c>
      <c r="O16" s="9" t="s">
        <v>13</v>
      </c>
      <c r="P16" s="10" t="s">
        <v>14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29" t="s">
        <v>23</v>
      </c>
      <c r="B17" s="18"/>
      <c r="C17" s="18"/>
      <c r="D17" s="18"/>
      <c r="E17" s="18"/>
      <c r="F17" s="30"/>
      <c r="G17" s="31">
        <v>0.0</v>
      </c>
      <c r="H17" s="31">
        <v>650.02</v>
      </c>
      <c r="I17" s="31">
        <v>1625.83</v>
      </c>
      <c r="J17" s="31">
        <v>2923.01</v>
      </c>
      <c r="K17" s="32">
        <v>4636.49</v>
      </c>
      <c r="L17" s="33">
        <v>4636.96</v>
      </c>
      <c r="M17" s="33">
        <v>3086.23</v>
      </c>
      <c r="N17" s="33">
        <v>2214.32</v>
      </c>
      <c r="O17" s="33">
        <v>0.0</v>
      </c>
      <c r="P17" s="34">
        <f t="shared" ref="P17:P19" si="5">SUM(B17:O17)</f>
        <v>19772.86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35" t="s">
        <v>24</v>
      </c>
      <c r="B18" s="18"/>
      <c r="C18" s="18"/>
      <c r="D18" s="18"/>
      <c r="E18" s="18"/>
      <c r="F18" s="18"/>
      <c r="G18" s="31">
        <v>2996.36</v>
      </c>
      <c r="H18" s="31">
        <v>29537.2</v>
      </c>
      <c r="I18" s="31">
        <v>35758.01</v>
      </c>
      <c r="J18" s="31">
        <v>55429.22</v>
      </c>
      <c r="K18" s="32">
        <v>35874.21</v>
      </c>
      <c r="L18" s="33">
        <v>19713.19</v>
      </c>
      <c r="M18" s="33">
        <v>10626.22</v>
      </c>
      <c r="N18" s="33">
        <v>7501.29</v>
      </c>
      <c r="O18" s="33">
        <v>6334.47</v>
      </c>
      <c r="P18" s="34">
        <f t="shared" si="5"/>
        <v>203770.17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36" t="s">
        <v>25</v>
      </c>
      <c r="B19" s="18"/>
      <c r="C19" s="18"/>
      <c r="D19" s="18"/>
      <c r="E19" s="18"/>
      <c r="F19" s="37"/>
      <c r="G19" s="33">
        <v>330.05</v>
      </c>
      <c r="H19" s="33">
        <v>2953.04</v>
      </c>
      <c r="I19" s="33">
        <v>3166.31</v>
      </c>
      <c r="J19" s="33">
        <v>4503.95</v>
      </c>
      <c r="K19" s="33">
        <v>3335.53</v>
      </c>
      <c r="L19" s="33">
        <v>2421.01</v>
      </c>
      <c r="M19" s="33" t="s">
        <v>26</v>
      </c>
      <c r="N19" s="33">
        <v>906.73</v>
      </c>
      <c r="O19" s="33" t="s">
        <v>27</v>
      </c>
      <c r="P19" s="34">
        <f t="shared" si="5"/>
        <v>17616.62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38" t="s">
        <v>28</v>
      </c>
      <c r="B20" s="18"/>
      <c r="C20" s="18"/>
      <c r="D20" s="18"/>
      <c r="E20" s="18"/>
      <c r="F20" s="18"/>
      <c r="G20" s="31">
        <v>80.46</v>
      </c>
      <c r="H20" s="31">
        <v>571.32</v>
      </c>
      <c r="I20" s="31">
        <v>737.92</v>
      </c>
      <c r="J20" s="31">
        <v>853.91</v>
      </c>
      <c r="K20" s="31">
        <v>586.62</v>
      </c>
      <c r="L20" s="31">
        <v>687.18</v>
      </c>
      <c r="M20" s="39">
        <v>380.03</v>
      </c>
      <c r="N20" s="39">
        <v>380.03</v>
      </c>
      <c r="O20" s="39">
        <v>380.03</v>
      </c>
      <c r="P20" s="34">
        <f t="shared" ref="P20:P23" si="6">SUM(B20:M20)</f>
        <v>3897.44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38" t="s">
        <v>29</v>
      </c>
      <c r="B21" s="18"/>
      <c r="C21" s="18"/>
      <c r="D21" s="18"/>
      <c r="E21" s="18"/>
      <c r="F21" s="18"/>
      <c r="G21" s="40">
        <v>35.91</v>
      </c>
      <c r="H21" s="40">
        <v>378.02</v>
      </c>
      <c r="I21" s="40">
        <v>525.15</v>
      </c>
      <c r="J21" s="40">
        <v>553.94</v>
      </c>
      <c r="K21" s="40">
        <v>600.17</v>
      </c>
      <c r="L21" s="40">
        <v>545.91</v>
      </c>
      <c r="M21" s="40">
        <v>247.67</v>
      </c>
      <c r="N21" s="40">
        <v>247.67</v>
      </c>
      <c r="O21" s="40">
        <v>247.67</v>
      </c>
      <c r="P21" s="34">
        <f t="shared" si="6"/>
        <v>2886.77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36" t="s">
        <v>30</v>
      </c>
      <c r="B22" s="18"/>
      <c r="C22" s="18"/>
      <c r="D22" s="18"/>
      <c r="E22" s="18"/>
      <c r="F22" s="18"/>
      <c r="G22" s="31"/>
      <c r="H22" s="41">
        <v>117.0</v>
      </c>
      <c r="I22" s="41">
        <v>116.5</v>
      </c>
      <c r="J22" s="41">
        <v>117.3</v>
      </c>
      <c r="K22" s="41">
        <v>116.5</v>
      </c>
      <c r="L22" s="41">
        <v>115.6</v>
      </c>
      <c r="M22" s="41">
        <v>115.6</v>
      </c>
      <c r="N22" s="41">
        <v>115.6</v>
      </c>
      <c r="O22" s="41">
        <v>115.6</v>
      </c>
      <c r="P22" s="34">
        <f t="shared" si="6"/>
        <v>698.5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20" t="s">
        <v>31</v>
      </c>
      <c r="B23" s="42">
        <f t="shared" ref="B23:O23" si="7">SUM(B17:B22)</f>
        <v>0</v>
      </c>
      <c r="C23" s="42">
        <f t="shared" si="7"/>
        <v>0</v>
      </c>
      <c r="D23" s="42">
        <f t="shared" si="7"/>
        <v>0</v>
      </c>
      <c r="E23" s="42">
        <f t="shared" si="7"/>
        <v>0</v>
      </c>
      <c r="F23" s="42">
        <f t="shared" si="7"/>
        <v>0</v>
      </c>
      <c r="G23" s="42">
        <f t="shared" si="7"/>
        <v>3442.78</v>
      </c>
      <c r="H23" s="42">
        <f t="shared" si="7"/>
        <v>34206.6</v>
      </c>
      <c r="I23" s="42">
        <f t="shared" si="7"/>
        <v>41929.72</v>
      </c>
      <c r="J23" s="42">
        <f t="shared" si="7"/>
        <v>64381.33</v>
      </c>
      <c r="K23" s="42">
        <f t="shared" si="7"/>
        <v>45149.52</v>
      </c>
      <c r="L23" s="42">
        <f t="shared" si="7"/>
        <v>28119.85</v>
      </c>
      <c r="M23" s="42">
        <f t="shared" si="7"/>
        <v>14455.75</v>
      </c>
      <c r="N23" s="42">
        <f t="shared" si="7"/>
        <v>11365.64</v>
      </c>
      <c r="O23" s="42">
        <f t="shared" si="7"/>
        <v>7077.77</v>
      </c>
      <c r="P23" s="43">
        <f t="shared" si="6"/>
        <v>231685.55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6"/>
      <c r="B24" s="6"/>
      <c r="C24" s="6"/>
      <c r="D24" s="6"/>
      <c r="E24" s="44"/>
      <c r="F24" s="44"/>
      <c r="G24" s="44"/>
      <c r="H24" s="44"/>
      <c r="I24" s="44"/>
      <c r="J24" s="6"/>
      <c r="K24" s="6"/>
      <c r="L24" s="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8" t="s">
        <v>32</v>
      </c>
      <c r="B25" s="9" t="s">
        <v>1</v>
      </c>
      <c r="C25" s="9" t="s">
        <v>2</v>
      </c>
      <c r="D25" s="9" t="s">
        <v>3</v>
      </c>
      <c r="E25" s="8" t="s">
        <v>4</v>
      </c>
      <c r="F25" s="8" t="s">
        <v>5</v>
      </c>
      <c r="G25" s="8" t="s">
        <v>6</v>
      </c>
      <c r="H25" s="8" t="s">
        <v>7</v>
      </c>
      <c r="I25" s="8" t="s">
        <v>8</v>
      </c>
      <c r="J25" s="8" t="s">
        <v>9</v>
      </c>
      <c r="K25" s="8" t="s">
        <v>10</v>
      </c>
      <c r="L25" s="8" t="s">
        <v>11</v>
      </c>
      <c r="M25" s="8" t="s">
        <v>12</v>
      </c>
      <c r="N25" s="9" t="s">
        <v>1</v>
      </c>
      <c r="O25" s="9" t="s">
        <v>13</v>
      </c>
      <c r="P25" s="45" t="s">
        <v>33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20" t="s">
        <v>34</v>
      </c>
      <c r="B26" s="46">
        <f t="shared" ref="B26:O26" si="8">MINUS(B13,B23)</f>
        <v>0</v>
      </c>
      <c r="C26" s="46">
        <f t="shared" si="8"/>
        <v>0</v>
      </c>
      <c r="D26" s="46">
        <f t="shared" si="8"/>
        <v>0</v>
      </c>
      <c r="E26" s="46">
        <f t="shared" si="8"/>
        <v>0</v>
      </c>
      <c r="F26" s="46">
        <f t="shared" si="8"/>
        <v>0</v>
      </c>
      <c r="G26" s="46">
        <f t="shared" si="8"/>
        <v>1724.75</v>
      </c>
      <c r="H26" s="46">
        <f t="shared" si="8"/>
        <v>12017.84</v>
      </c>
      <c r="I26" s="46">
        <f t="shared" si="8"/>
        <v>8708.02</v>
      </c>
      <c r="J26" s="46">
        <f t="shared" si="8"/>
        <v>8754.8</v>
      </c>
      <c r="K26" s="46">
        <f t="shared" si="8"/>
        <v>9858.89</v>
      </c>
      <c r="L26" s="46">
        <f t="shared" si="8"/>
        <v>13307.36</v>
      </c>
      <c r="M26" s="46">
        <f t="shared" si="8"/>
        <v>3501.26</v>
      </c>
      <c r="N26" s="46">
        <f t="shared" si="8"/>
        <v>4020.47</v>
      </c>
      <c r="O26" s="46">
        <f t="shared" si="8"/>
        <v>2600.23</v>
      </c>
      <c r="P26" s="47">
        <f>SUM(B26:M26)</f>
        <v>57872.92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4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49" t="s">
        <v>35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2" t="s">
        <v>24</v>
      </c>
      <c r="B30" s="50">
        <f>SUM(P18)</f>
        <v>203770.17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7"/>
      <c r="N30" s="7"/>
      <c r="O30" s="7"/>
      <c r="P30" s="2"/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2" t="s">
        <v>36</v>
      </c>
      <c r="B31" s="50">
        <f>SUM(P17)</f>
        <v>19772.86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7"/>
      <c r="N31" s="7"/>
      <c r="O31" s="7"/>
      <c r="P31" s="7"/>
      <c r="Q31" s="2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2" t="s">
        <v>37</v>
      </c>
      <c r="B32" s="51" t="str">
        <f>sum(#REF!)</f>
        <v>#REF!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7"/>
      <c r="N32" s="7"/>
      <c r="O32" s="7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2" t="s">
        <v>38</v>
      </c>
      <c r="B33" s="50" t="str">
        <f>SUM(#REF!)</f>
        <v>#REF!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7" t="s">
        <v>39</v>
      </c>
      <c r="B34" s="50" t="str">
        <f>sum(#REF!)</f>
        <v>#REF!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2"/>
      <c r="B35" s="5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44"/>
      <c r="B40" s="5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44"/>
      <c r="B41" s="5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6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54"/>
      <c r="B43" s="5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44"/>
      <c r="B44" s="5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</sheetData>
  <mergeCells count="1">
    <mergeCell ref="A29:B2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15</v>
      </c>
      <c r="B5" s="11"/>
      <c r="C5" s="23"/>
      <c r="D5" s="13"/>
      <c r="E5" s="23"/>
      <c r="F5" s="23"/>
      <c r="G5" s="57"/>
      <c r="H5" s="58"/>
      <c r="I5" s="59"/>
      <c r="J5" s="60"/>
      <c r="K5" s="58"/>
      <c r="L5" s="57"/>
      <c r="M5" s="57"/>
      <c r="N5" s="16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7" t="s">
        <v>16</v>
      </c>
      <c r="B6" s="11"/>
      <c r="C6" s="23"/>
      <c r="D6" s="13"/>
      <c r="E6" s="23"/>
      <c r="F6" s="13"/>
      <c r="G6" s="23"/>
      <c r="H6" s="57"/>
      <c r="I6" s="57"/>
      <c r="J6" s="61"/>
      <c r="K6" s="62"/>
      <c r="L6" s="57"/>
      <c r="M6" s="57"/>
      <c r="N6" s="16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7" t="s">
        <v>17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6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0" t="s">
        <v>18</v>
      </c>
      <c r="B8" s="21">
        <f t="shared" ref="B8:M8" si="2">B5-B6-B7</f>
        <v>0</v>
      </c>
      <c r="C8" s="21">
        <f t="shared" si="2"/>
        <v>0</v>
      </c>
      <c r="D8" s="21">
        <f t="shared" si="2"/>
        <v>0</v>
      </c>
      <c r="E8" s="21">
        <f t="shared" si="2"/>
        <v>0</v>
      </c>
      <c r="F8" s="21">
        <f t="shared" si="2"/>
        <v>0</v>
      </c>
      <c r="G8" s="21">
        <f t="shared" si="2"/>
        <v>0</v>
      </c>
      <c r="H8" s="21">
        <f t="shared" si="2"/>
        <v>0</v>
      </c>
      <c r="I8" s="21">
        <f t="shared" si="2"/>
        <v>0</v>
      </c>
      <c r="J8" s="21">
        <f t="shared" si="2"/>
        <v>0</v>
      </c>
      <c r="K8" s="21">
        <f t="shared" si="2"/>
        <v>0</v>
      </c>
      <c r="L8" s="21">
        <f t="shared" si="2"/>
        <v>0</v>
      </c>
      <c r="M8" s="21">
        <f t="shared" si="2"/>
        <v>0</v>
      </c>
      <c r="N8" s="22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19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7" t="s">
        <v>20</v>
      </c>
      <c r="B12" s="23"/>
      <c r="C12" s="23"/>
      <c r="D12" s="23"/>
      <c r="E12" s="23"/>
      <c r="F12" s="23"/>
      <c r="G12" s="23"/>
      <c r="H12" s="63"/>
      <c r="I12" s="23"/>
      <c r="J12" s="23"/>
      <c r="K12" s="62"/>
      <c r="L12" s="13"/>
      <c r="M12" s="64"/>
      <c r="N12" s="26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0" t="s">
        <v>21</v>
      </c>
      <c r="B13" s="27">
        <f t="shared" ref="B13:M13" si="3">B8-B12</f>
        <v>0</v>
      </c>
      <c r="C13" s="27">
        <f t="shared" si="3"/>
        <v>0</v>
      </c>
      <c r="D13" s="27">
        <f t="shared" si="3"/>
        <v>0</v>
      </c>
      <c r="E13" s="27">
        <f t="shared" si="3"/>
        <v>0</v>
      </c>
      <c r="F13" s="27">
        <f t="shared" si="3"/>
        <v>0</v>
      </c>
      <c r="G13" s="27">
        <f t="shared" si="3"/>
        <v>0</v>
      </c>
      <c r="H13" s="27">
        <f t="shared" si="3"/>
        <v>0</v>
      </c>
      <c r="I13" s="27">
        <f t="shared" si="3"/>
        <v>0</v>
      </c>
      <c r="J13" s="27">
        <f t="shared" si="3"/>
        <v>0</v>
      </c>
      <c r="K13" s="27">
        <f t="shared" si="3"/>
        <v>0</v>
      </c>
      <c r="L13" s="27">
        <f t="shared" si="3"/>
        <v>0</v>
      </c>
      <c r="M13" s="27">
        <f t="shared" si="3"/>
        <v>0</v>
      </c>
      <c r="N13" s="28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22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8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34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9" t="s">
        <v>23</v>
      </c>
      <c r="B18" s="18"/>
      <c r="C18" s="18"/>
      <c r="D18" s="18"/>
      <c r="E18" s="18"/>
      <c r="F18" s="18"/>
      <c r="G18" s="18"/>
      <c r="H18" s="18"/>
      <c r="I18" s="18"/>
      <c r="J18" s="18"/>
      <c r="K18" s="62"/>
      <c r="L18" s="13"/>
      <c r="M18" s="13"/>
      <c r="N18" s="34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18"/>
      <c r="C19" s="18"/>
      <c r="D19" s="18"/>
      <c r="E19" s="18"/>
      <c r="F19" s="18"/>
      <c r="G19" s="18"/>
      <c r="H19" s="18"/>
      <c r="I19" s="18"/>
      <c r="J19" s="18"/>
      <c r="K19" s="62"/>
      <c r="L19" s="13"/>
      <c r="M19" s="13"/>
      <c r="N19" s="34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9" t="s">
        <v>38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34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39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34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25</v>
      </c>
      <c r="B22" s="18"/>
      <c r="C22" s="18"/>
      <c r="D22" s="18"/>
      <c r="E22" s="18"/>
      <c r="F22" s="37"/>
      <c r="G22" s="37"/>
      <c r="H22" s="37"/>
      <c r="I22" s="37"/>
      <c r="J22" s="37"/>
      <c r="K22" s="37"/>
      <c r="L22" s="37"/>
      <c r="M22" s="37"/>
      <c r="N22" s="34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8" t="s">
        <v>41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65"/>
      <c r="N23" s="34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8" t="s">
        <v>28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65"/>
      <c r="N24" s="34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8" t="s">
        <v>29</v>
      </c>
      <c r="B25" s="18"/>
      <c r="C25" s="18"/>
      <c r="D25" s="18"/>
      <c r="E25" s="18"/>
      <c r="F25" s="18"/>
      <c r="G25" s="18"/>
      <c r="H25" s="18"/>
      <c r="I25" s="18"/>
      <c r="J25" s="18"/>
      <c r="K25" s="62"/>
      <c r="L25" s="13"/>
      <c r="M25" s="13"/>
      <c r="N25" s="34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6" t="s">
        <v>42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34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34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43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34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7" t="s">
        <v>44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4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0" t="s">
        <v>31</v>
      </c>
      <c r="B30" s="42">
        <f t="shared" ref="B30:M30" si="6">SUM(B17:B29)</f>
        <v>0</v>
      </c>
      <c r="C30" s="42">
        <f t="shared" si="6"/>
        <v>0</v>
      </c>
      <c r="D30" s="42">
        <f t="shared" si="6"/>
        <v>0</v>
      </c>
      <c r="E30" s="42">
        <f t="shared" si="6"/>
        <v>0</v>
      </c>
      <c r="F30" s="42">
        <f t="shared" si="6"/>
        <v>0</v>
      </c>
      <c r="G30" s="42">
        <f t="shared" si="6"/>
        <v>0</v>
      </c>
      <c r="H30" s="42">
        <f t="shared" si="6"/>
        <v>0</v>
      </c>
      <c r="I30" s="42">
        <f t="shared" si="6"/>
        <v>0</v>
      </c>
      <c r="J30" s="42">
        <f t="shared" si="6"/>
        <v>0</v>
      </c>
      <c r="K30" s="42">
        <f t="shared" si="6"/>
        <v>0</v>
      </c>
      <c r="L30" s="42">
        <f t="shared" si="6"/>
        <v>0</v>
      </c>
      <c r="M30" s="42">
        <f t="shared" si="6"/>
        <v>0</v>
      </c>
      <c r="N30" s="43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4"/>
      <c r="F31" s="44"/>
      <c r="G31" s="44"/>
      <c r="H31" s="44"/>
      <c r="I31" s="44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32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5" t="s">
        <v>33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0" t="s">
        <v>34</v>
      </c>
      <c r="B33" s="46">
        <f t="shared" ref="B33:M33" si="7">MINUS(B13,B30)</f>
        <v>0</v>
      </c>
      <c r="C33" s="46">
        <f t="shared" si="7"/>
        <v>0</v>
      </c>
      <c r="D33" s="46">
        <f t="shared" si="7"/>
        <v>0</v>
      </c>
      <c r="E33" s="46">
        <f t="shared" si="7"/>
        <v>0</v>
      </c>
      <c r="F33" s="46">
        <f t="shared" si="7"/>
        <v>0</v>
      </c>
      <c r="G33" s="46">
        <f t="shared" si="7"/>
        <v>0</v>
      </c>
      <c r="H33" s="46">
        <f t="shared" si="7"/>
        <v>0</v>
      </c>
      <c r="I33" s="46">
        <f t="shared" si="7"/>
        <v>0</v>
      </c>
      <c r="J33" s="46">
        <f t="shared" si="7"/>
        <v>0</v>
      </c>
      <c r="K33" s="46">
        <f t="shared" si="7"/>
        <v>0</v>
      </c>
      <c r="L33" s="46">
        <f t="shared" si="7"/>
        <v>0</v>
      </c>
      <c r="M33" s="46">
        <f t="shared" si="7"/>
        <v>0</v>
      </c>
      <c r="N33" s="47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9" t="s">
        <v>35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0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36</v>
      </c>
      <c r="B38" s="50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37</v>
      </c>
      <c r="B39" s="51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38</v>
      </c>
      <c r="B40" s="5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39</v>
      </c>
      <c r="B41" s="5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4"/>
      <c r="B47" s="5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4"/>
      <c r="B48" s="5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4"/>
      <c r="B51" s="5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15</v>
      </c>
      <c r="B5" s="11"/>
      <c r="C5" s="23"/>
      <c r="D5" s="13"/>
      <c r="E5" s="23"/>
      <c r="F5" s="23"/>
      <c r="G5" s="57"/>
      <c r="H5" s="58"/>
      <c r="I5" s="59"/>
      <c r="J5" s="60"/>
      <c r="K5" s="58"/>
      <c r="L5" s="57"/>
      <c r="M5" s="57"/>
      <c r="N5" s="16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7" t="s">
        <v>16</v>
      </c>
      <c r="B6" s="11"/>
      <c r="C6" s="23"/>
      <c r="D6" s="13"/>
      <c r="E6" s="23"/>
      <c r="F6" s="13"/>
      <c r="G6" s="23"/>
      <c r="H6" s="57"/>
      <c r="I6" s="57"/>
      <c r="J6" s="61"/>
      <c r="K6" s="62"/>
      <c r="L6" s="57"/>
      <c r="M6" s="57"/>
      <c r="N6" s="16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7" t="s">
        <v>17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6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0" t="s">
        <v>18</v>
      </c>
      <c r="B8" s="21">
        <f t="shared" ref="B8:M8" si="2">B5-B6-B7</f>
        <v>0</v>
      </c>
      <c r="C8" s="21">
        <f t="shared" si="2"/>
        <v>0</v>
      </c>
      <c r="D8" s="21">
        <f t="shared" si="2"/>
        <v>0</v>
      </c>
      <c r="E8" s="21">
        <f t="shared" si="2"/>
        <v>0</v>
      </c>
      <c r="F8" s="21">
        <f t="shared" si="2"/>
        <v>0</v>
      </c>
      <c r="G8" s="21">
        <f t="shared" si="2"/>
        <v>0</v>
      </c>
      <c r="H8" s="21">
        <f t="shared" si="2"/>
        <v>0</v>
      </c>
      <c r="I8" s="21">
        <f t="shared" si="2"/>
        <v>0</v>
      </c>
      <c r="J8" s="21">
        <f t="shared" si="2"/>
        <v>0</v>
      </c>
      <c r="K8" s="21">
        <f t="shared" si="2"/>
        <v>0</v>
      </c>
      <c r="L8" s="21">
        <f t="shared" si="2"/>
        <v>0</v>
      </c>
      <c r="M8" s="21">
        <f t="shared" si="2"/>
        <v>0</v>
      </c>
      <c r="N8" s="22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19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7" t="s">
        <v>20</v>
      </c>
      <c r="B12" s="23"/>
      <c r="C12" s="23"/>
      <c r="D12" s="23"/>
      <c r="E12" s="23"/>
      <c r="F12" s="23"/>
      <c r="G12" s="23"/>
      <c r="H12" s="63"/>
      <c r="I12" s="23"/>
      <c r="J12" s="23"/>
      <c r="K12" s="62"/>
      <c r="L12" s="13"/>
      <c r="M12" s="64"/>
      <c r="N12" s="26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0" t="s">
        <v>21</v>
      </c>
      <c r="B13" s="27">
        <f t="shared" ref="B13:M13" si="3">B8-B12</f>
        <v>0</v>
      </c>
      <c r="C13" s="27">
        <f t="shared" si="3"/>
        <v>0</v>
      </c>
      <c r="D13" s="27">
        <f t="shared" si="3"/>
        <v>0</v>
      </c>
      <c r="E13" s="27">
        <f t="shared" si="3"/>
        <v>0</v>
      </c>
      <c r="F13" s="27">
        <f t="shared" si="3"/>
        <v>0</v>
      </c>
      <c r="G13" s="27">
        <f t="shared" si="3"/>
        <v>0</v>
      </c>
      <c r="H13" s="27">
        <f t="shared" si="3"/>
        <v>0</v>
      </c>
      <c r="I13" s="27">
        <f t="shared" si="3"/>
        <v>0</v>
      </c>
      <c r="J13" s="27">
        <f t="shared" si="3"/>
        <v>0</v>
      </c>
      <c r="K13" s="27">
        <f t="shared" si="3"/>
        <v>0</v>
      </c>
      <c r="L13" s="27">
        <f t="shared" si="3"/>
        <v>0</v>
      </c>
      <c r="M13" s="27">
        <f t="shared" si="3"/>
        <v>0</v>
      </c>
      <c r="N13" s="28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22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8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34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9" t="s">
        <v>23</v>
      </c>
      <c r="B18" s="18"/>
      <c r="C18" s="18"/>
      <c r="D18" s="18"/>
      <c r="E18" s="18"/>
      <c r="F18" s="18"/>
      <c r="G18" s="18"/>
      <c r="H18" s="18"/>
      <c r="I18" s="18"/>
      <c r="J18" s="18"/>
      <c r="K18" s="62"/>
      <c r="L18" s="13"/>
      <c r="M18" s="13"/>
      <c r="N18" s="34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18"/>
      <c r="C19" s="18"/>
      <c r="D19" s="18"/>
      <c r="E19" s="18"/>
      <c r="F19" s="18"/>
      <c r="G19" s="18"/>
      <c r="H19" s="18"/>
      <c r="I19" s="18"/>
      <c r="J19" s="18"/>
      <c r="K19" s="62"/>
      <c r="L19" s="13"/>
      <c r="M19" s="13"/>
      <c r="N19" s="34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9" t="s">
        <v>38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34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39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34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25</v>
      </c>
      <c r="B22" s="18"/>
      <c r="C22" s="18"/>
      <c r="D22" s="18"/>
      <c r="E22" s="18"/>
      <c r="F22" s="37"/>
      <c r="G22" s="37"/>
      <c r="H22" s="37"/>
      <c r="I22" s="37"/>
      <c r="J22" s="37"/>
      <c r="K22" s="37"/>
      <c r="L22" s="37"/>
      <c r="M22" s="37"/>
      <c r="N22" s="34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8" t="s">
        <v>41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65"/>
      <c r="N23" s="34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8" t="s">
        <v>28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65"/>
      <c r="N24" s="34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8" t="s">
        <v>29</v>
      </c>
      <c r="B25" s="18"/>
      <c r="C25" s="18"/>
      <c r="D25" s="18"/>
      <c r="E25" s="18"/>
      <c r="F25" s="18"/>
      <c r="G25" s="18"/>
      <c r="H25" s="18"/>
      <c r="I25" s="18"/>
      <c r="J25" s="18"/>
      <c r="K25" s="62"/>
      <c r="L25" s="13"/>
      <c r="M25" s="13"/>
      <c r="N25" s="34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6" t="s">
        <v>42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34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34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43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34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7" t="s">
        <v>44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4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0" t="s">
        <v>31</v>
      </c>
      <c r="B30" s="42">
        <f t="shared" ref="B30:M30" si="6">SUM(B17:B29)</f>
        <v>0</v>
      </c>
      <c r="C30" s="42">
        <f t="shared" si="6"/>
        <v>0</v>
      </c>
      <c r="D30" s="42">
        <f t="shared" si="6"/>
        <v>0</v>
      </c>
      <c r="E30" s="42">
        <f t="shared" si="6"/>
        <v>0</v>
      </c>
      <c r="F30" s="42">
        <f t="shared" si="6"/>
        <v>0</v>
      </c>
      <c r="G30" s="42">
        <f t="shared" si="6"/>
        <v>0</v>
      </c>
      <c r="H30" s="42">
        <f t="shared" si="6"/>
        <v>0</v>
      </c>
      <c r="I30" s="42">
        <f t="shared" si="6"/>
        <v>0</v>
      </c>
      <c r="J30" s="42">
        <f t="shared" si="6"/>
        <v>0</v>
      </c>
      <c r="K30" s="42">
        <f t="shared" si="6"/>
        <v>0</v>
      </c>
      <c r="L30" s="42">
        <f t="shared" si="6"/>
        <v>0</v>
      </c>
      <c r="M30" s="42">
        <f t="shared" si="6"/>
        <v>0</v>
      </c>
      <c r="N30" s="43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4"/>
      <c r="F31" s="44"/>
      <c r="G31" s="44"/>
      <c r="H31" s="44"/>
      <c r="I31" s="44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32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5" t="s">
        <v>33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0" t="s">
        <v>34</v>
      </c>
      <c r="B33" s="46">
        <f t="shared" ref="B33:M33" si="7">MINUS(B13,B30)</f>
        <v>0</v>
      </c>
      <c r="C33" s="46">
        <f t="shared" si="7"/>
        <v>0</v>
      </c>
      <c r="D33" s="46">
        <f t="shared" si="7"/>
        <v>0</v>
      </c>
      <c r="E33" s="46">
        <f t="shared" si="7"/>
        <v>0</v>
      </c>
      <c r="F33" s="46">
        <f t="shared" si="7"/>
        <v>0</v>
      </c>
      <c r="G33" s="46">
        <f t="shared" si="7"/>
        <v>0</v>
      </c>
      <c r="H33" s="46">
        <f t="shared" si="7"/>
        <v>0</v>
      </c>
      <c r="I33" s="46">
        <f t="shared" si="7"/>
        <v>0</v>
      </c>
      <c r="J33" s="46">
        <f t="shared" si="7"/>
        <v>0</v>
      </c>
      <c r="K33" s="46">
        <f t="shared" si="7"/>
        <v>0</v>
      </c>
      <c r="L33" s="46">
        <f t="shared" si="7"/>
        <v>0</v>
      </c>
      <c r="M33" s="46">
        <f t="shared" si="7"/>
        <v>0</v>
      </c>
      <c r="N33" s="47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9" t="s">
        <v>35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0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36</v>
      </c>
      <c r="B38" s="50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37</v>
      </c>
      <c r="B39" s="51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38</v>
      </c>
      <c r="B40" s="5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39</v>
      </c>
      <c r="B41" s="5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4"/>
      <c r="B47" s="5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4"/>
      <c r="B48" s="5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4"/>
      <c r="B51" s="5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