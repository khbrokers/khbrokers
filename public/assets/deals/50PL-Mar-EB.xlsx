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026" sheetId="1" r:id="rId5"/>
  </sheets>
  <definedNames/>
  <calcPr/>
</workbook>
</file>

<file path=xl/sharedStrings.xml><?xml version="1.0" encoding="utf-8"?>
<sst xmlns="http://schemas.openxmlformats.org/spreadsheetml/2006/main" count="87" uniqueCount="42">
  <si>
    <t>Income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</si>
  <si>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</si>
  <si>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</si>
  <si>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</si>
  <si>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</si>
  <si>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</si>
  <si>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</si>
  <si>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</si>
  <si>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</si>
  <si>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</si>
  <si>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</si>
  <si>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</si>
  <si>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</si>
  <si>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</si>
  <si>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</si>
  <si>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</si>
  <si>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</si>
  <si>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</si>
  <si>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</si>
  <si>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</si>
  <si>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</si>
  <si>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</si>
  <si>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</si>
  <si>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</si>
  <si>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</si>
  <si>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</si>
  <si>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</si>
  <si>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</si>
  <si>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</si>
  <si>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</si>
  <si>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</si>
  <si>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</si>
  <si>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</si>
  <si>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</si>
  <si>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*ADD MORE ROWS IF NEEDED*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</si>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</sst>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3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sz val="10.0"/>
      <color theme="1"/>
      <name val="Montserrat"/>
    </font>
    <font>
      <b/>
      <color rgb="FFFFFFFF"/>
      <name val="Montserrat"/>
    </font>
    <font>
      <b/>
      <sz val="10.0"/>
      <color rgb="FFFFFFFF"/>
      <name val="Montserrat"/>
    </font>
    <font>
      <sz val="10.0"/>
      <color rgb="FF000000"/>
      <name val="Montserrat"/>
    </font>
    <font>
      <b/>
      <color theme="1"/>
      <name val="Montserrat"/>
    </font>
    <font>
      <b/>
      <sz val="10.0"/>
      <color rgb="FF000000"/>
      <name val="Montserrat"/>
    </font>
    <font>
      <b/>
      <sz val="10.0"/>
      <color theme="1"/>
      <name val="Montserrat"/>
    </font>
    <font>
      <sz val="10.0"/>
      <color rgb="FF303030"/>
      <name val="Montserrat"/>
    </font>
    <font>
      <color rgb="FF000000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C496EA"/>
        <bgColor rgb="FFC496EA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3" fontId="5" numFmtId="0" xfId="0" applyAlignment="1" applyFill="1" applyFont="1">
      <alignment vertical="bottom"/>
    </xf>
    <xf borderId="0" fillId="3" fontId="6" numFmtId="0" xfId="0" applyAlignment="1" applyFont="1">
      <alignment readingOrder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right" vertical="bottom"/>
    </xf>
    <xf borderId="0" fillId="4" fontId="7" numFmtId="164" xfId="0" applyAlignment="1" applyFill="1" applyFont="1" applyNumberFormat="1">
      <alignment readingOrder="0" shrinkToFit="0" wrapText="0"/>
    </xf>
    <xf borderId="0" fillId="0" fontId="7" numFmtId="164" xfId="0" applyAlignment="1" applyFont="1" applyNumberFormat="1">
      <alignment readingOrder="0" shrinkToFit="0" wrapText="0"/>
    </xf>
    <xf borderId="0" fillId="0" fontId="7" numFmtId="164" xfId="0" applyAlignment="1" applyFont="1" applyNumberFormat="1">
      <alignment horizontal="right" readingOrder="0"/>
    </xf>
    <xf borderId="0" fillId="5" fontId="4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readingOrder="0"/>
    </xf>
    <xf borderId="0" fillId="5" fontId="8" numFmtId="0" xfId="0" applyAlignment="1" applyFont="1">
      <alignment vertical="bottom"/>
    </xf>
    <xf borderId="0" fillId="6" fontId="9" numFmtId="164" xfId="0" applyAlignment="1" applyFill="1" applyFont="1" applyNumberFormat="1">
      <alignment readingOrder="0" shrinkToFit="0" wrapText="0"/>
    </xf>
    <xf borderId="0" fillId="6" fontId="10" numFmtId="164" xfId="0" applyAlignment="1" applyFont="1" applyNumberFormat="1">
      <alignment readingOrder="0" vertical="bottom"/>
    </xf>
    <xf borderId="0" fillId="0" fontId="4" numFmtId="0" xfId="0" applyFont="1"/>
    <xf borderId="0" fillId="7" fontId="7" numFmtId="164" xfId="0" applyAlignment="1" applyFill="1" applyFont="1" applyNumberFormat="1">
      <alignment horizontal="right" readingOrder="0" vertical="bottom"/>
    </xf>
    <xf borderId="0" fillId="0" fontId="7" numFmtId="164" xfId="0" applyAlignment="1" applyFont="1" applyNumberFormat="1">
      <alignment horizontal="right" readingOrder="0"/>
    </xf>
    <xf borderId="0" fillId="7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 vertical="bottom"/>
    </xf>
    <xf borderId="0" fillId="5" fontId="4" numFmtId="164" xfId="0" applyAlignment="1" applyFont="1" applyNumberFormat="1">
      <alignment horizontal="right" readingOrder="0" vertical="bottom"/>
    </xf>
    <xf borderId="0" fillId="5" fontId="10" numFmtId="164" xfId="0" applyAlignment="1" applyFont="1" applyNumberFormat="1">
      <alignment horizontal="right" vertical="bottom"/>
    </xf>
    <xf borderId="0" fillId="5" fontId="10" numFmtId="164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5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readingOrder="0"/>
    </xf>
    <xf borderId="0" fillId="7" fontId="11" numFmtId="164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4" numFmtId="164" xfId="0" applyAlignment="1" applyFont="1" applyNumberFormat="1">
      <alignment horizontal="right"/>
    </xf>
    <xf borderId="0" fillId="5" fontId="10" numFmtId="165" xfId="0" applyAlignment="1" applyFont="1" applyNumberFormat="1">
      <alignment horizontal="right" vertical="bottom"/>
    </xf>
    <xf borderId="0" fillId="5" fontId="10" numFmtId="165" xfId="0" applyAlignment="1" applyFont="1" applyNumberFormat="1">
      <alignment horizontal="right" readingOrder="0" vertical="bottom"/>
    </xf>
    <xf borderId="0" fillId="7" fontId="4" numFmtId="0" xfId="0" applyAlignment="1" applyFont="1">
      <alignment vertical="bottom"/>
    </xf>
    <xf borderId="0" fillId="3" fontId="6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  <xf borderId="0" fillId="3" fontId="5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7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7" fontId="12" numFmtId="0" xfId="0" applyAlignment="1" applyFont="1">
      <alignment vertical="bottom"/>
    </xf>
    <xf borderId="0" fillId="7" fontId="12" numFmtId="165" xfId="0" applyAlignment="1" applyFont="1" applyNumberFormat="1">
      <alignment horizontal="right" vertical="bottom"/>
    </xf>
    <xf borderId="0" fillId="7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'2025-2026'!$A$37:$A$41</c:f>
            </c:strRef>
          </c:cat>
          <c:val>
            <c:numRef>
              <c:f>'2025-2026'!$B$37:$B$41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5" max="15" width="18.8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2026.0</v>
      </c>
      <c r="M3" s="7">
        <v>2026.0</v>
      </c>
      <c r="N3" s="7">
        <v>2026.0</v>
      </c>
      <c r="O3" s="8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9" t="s">
        <v>0</v>
      </c>
      <c r="B4" s="10" t="s">
        <v>1</v>
      </c>
      <c r="C4" s="10" t="s">
        <v>2</v>
      </c>
      <c r="D4" s="10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</v>
      </c>
      <c r="O4" s="12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3">
        <v>24703.03</v>
      </c>
      <c r="C5" s="13">
        <v>49501.02</v>
      </c>
      <c r="D5" s="14">
        <v>79305.89</v>
      </c>
      <c r="E5" s="14">
        <v>74215.65</v>
      </c>
      <c r="F5" s="14">
        <v>100152.0</v>
      </c>
      <c r="G5" s="14">
        <v>119115.17</v>
      </c>
      <c r="H5" s="14">
        <v>96835.47</v>
      </c>
      <c r="I5" s="15">
        <v>107360.0</v>
      </c>
      <c r="J5" s="13">
        <v>89857.28</v>
      </c>
      <c r="K5" s="14">
        <v>82388.4</v>
      </c>
      <c r="L5" s="13">
        <v>76215.17</v>
      </c>
      <c r="M5" s="13">
        <v>20418.86</v>
      </c>
      <c r="N5" s="13">
        <v>1472.58</v>
      </c>
      <c r="O5" s="16">
        <f t="shared" ref="O5:O8" si="1">SUM(B5:N5)</f>
        <v>921540.52</v>
      </c>
      <c r="P5" s="1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4">
        <v>40.0</v>
      </c>
      <c r="C6" s="19">
        <v>39.99</v>
      </c>
      <c r="D6" s="14">
        <v>309.0</v>
      </c>
      <c r="E6" s="14">
        <v>358.82</v>
      </c>
      <c r="F6" s="13">
        <v>107.98</v>
      </c>
      <c r="G6" s="14">
        <v>0.0</v>
      </c>
      <c r="H6" s="14">
        <v>0.0</v>
      </c>
      <c r="I6" s="20">
        <v>15.0</v>
      </c>
      <c r="J6" s="14">
        <v>0.0</v>
      </c>
      <c r="K6" s="14">
        <v>511.92</v>
      </c>
      <c r="L6" s="20">
        <v>395.64</v>
      </c>
      <c r="M6" s="20">
        <v>108.98</v>
      </c>
      <c r="N6" s="20">
        <v>0.0</v>
      </c>
      <c r="O6" s="16">
        <f t="shared" si="1"/>
        <v>1887.33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14">
        <v>44.99</v>
      </c>
      <c r="C7" s="21">
        <v>374.95</v>
      </c>
      <c r="D7" s="21">
        <v>432.92</v>
      </c>
      <c r="E7" s="21">
        <v>194.96</v>
      </c>
      <c r="F7" s="21">
        <v>155.96</v>
      </c>
      <c r="G7" s="21">
        <v>597.17</v>
      </c>
      <c r="H7" s="21">
        <v>484.91</v>
      </c>
      <c r="I7" s="21">
        <v>253.46</v>
      </c>
      <c r="J7" s="21">
        <v>270.96</v>
      </c>
      <c r="K7" s="21">
        <v>115.17</v>
      </c>
      <c r="L7" s="14">
        <v>0.0</v>
      </c>
      <c r="M7" s="14">
        <v>96.99</v>
      </c>
      <c r="N7" s="14">
        <v>0.0</v>
      </c>
      <c r="O7" s="16">
        <f t="shared" si="1"/>
        <v>3022.44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N8" si="2">B5-B6-B7</f>
        <v>24618.04</v>
      </c>
      <c r="C8" s="23">
        <f t="shared" si="2"/>
        <v>49086.08</v>
      </c>
      <c r="D8" s="23">
        <f t="shared" si="2"/>
        <v>78563.97</v>
      </c>
      <c r="E8" s="23">
        <f t="shared" si="2"/>
        <v>73661.87</v>
      </c>
      <c r="F8" s="23">
        <f t="shared" si="2"/>
        <v>99888.06</v>
      </c>
      <c r="G8" s="23">
        <f t="shared" si="2"/>
        <v>118518</v>
      </c>
      <c r="H8" s="23">
        <f t="shared" si="2"/>
        <v>96350.56</v>
      </c>
      <c r="I8" s="23">
        <f t="shared" si="2"/>
        <v>107091.54</v>
      </c>
      <c r="J8" s="23">
        <f t="shared" si="2"/>
        <v>89586.32</v>
      </c>
      <c r="K8" s="23">
        <f t="shared" si="2"/>
        <v>81761.31</v>
      </c>
      <c r="L8" s="23">
        <f t="shared" si="2"/>
        <v>75819.53</v>
      </c>
      <c r="M8" s="23">
        <f t="shared" si="2"/>
        <v>20212.89</v>
      </c>
      <c r="N8" s="23">
        <f t="shared" si="2"/>
        <v>1472.58</v>
      </c>
      <c r="O8" s="24">
        <f t="shared" si="1"/>
        <v>916630.75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8"/>
      <c r="N9" s="8"/>
      <c r="O9" s="8"/>
      <c r="P9" s="3"/>
      <c r="Q9" s="3"/>
      <c r="R9" s="3"/>
      <c r="S9" s="1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2026.0</v>
      </c>
      <c r="M10" s="7">
        <v>2026.0</v>
      </c>
      <c r="N10" s="7">
        <v>2026.0</v>
      </c>
      <c r="O10" s="8"/>
      <c r="P10" s="3"/>
      <c r="Q10" s="3"/>
      <c r="R10" s="17"/>
      <c r="S10" s="17"/>
      <c r="T10" s="3"/>
      <c r="U10" s="3"/>
      <c r="V10" s="3"/>
      <c r="W10" s="3"/>
      <c r="X10" s="3"/>
      <c r="Y10" s="3"/>
      <c r="Z10" s="3"/>
    </row>
    <row r="11" ht="15.75" customHeight="1">
      <c r="A11" s="9" t="s">
        <v>18</v>
      </c>
      <c r="B11" s="10" t="s">
        <v>1</v>
      </c>
      <c r="C11" s="10" t="s">
        <v>2</v>
      </c>
      <c r="D11" s="10" t="s">
        <v>3</v>
      </c>
      <c r="E11" s="11" t="s">
        <v>4</v>
      </c>
      <c r="F11" s="11" t="s">
        <v>5</v>
      </c>
      <c r="G11" s="11" t="s">
        <v>6</v>
      </c>
      <c r="H11" s="11" t="s">
        <v>7</v>
      </c>
      <c r="I11" s="11" t="s">
        <v>8</v>
      </c>
      <c r="J11" s="11" t="s">
        <v>9</v>
      </c>
      <c r="K11" s="11" t="s">
        <v>10</v>
      </c>
      <c r="L11" s="11" t="s">
        <v>11</v>
      </c>
      <c r="M11" s="11" t="s">
        <v>12</v>
      </c>
      <c r="N11" s="11" t="s">
        <v>1</v>
      </c>
      <c r="O11" s="12" t="s">
        <v>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6">
        <v>3901.36</v>
      </c>
      <c r="C12" s="26">
        <v>8048.06</v>
      </c>
      <c r="D12" s="26">
        <v>14827.0</v>
      </c>
      <c r="E12" s="26">
        <v>13775.7</v>
      </c>
      <c r="F12" s="26">
        <v>21745.68</v>
      </c>
      <c r="G12" s="26">
        <v>27814.74</v>
      </c>
      <c r="H12" s="27">
        <v>22345.79</v>
      </c>
      <c r="I12" s="26">
        <v>24656.8</v>
      </c>
      <c r="J12" s="26">
        <v>21299.4</v>
      </c>
      <c r="K12" s="28">
        <v>19819.4</v>
      </c>
      <c r="L12" s="29">
        <v>17584.4</v>
      </c>
      <c r="M12" s="30">
        <v>3706.4</v>
      </c>
      <c r="N12" s="30">
        <v>254.0</v>
      </c>
      <c r="O12" s="31">
        <f t="shared" ref="O12:O13" si="4">SUM(B12:N12)</f>
        <v>199778.73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2">
        <f t="shared" ref="B13:N13" si="3">B8-B12</f>
        <v>20716.68</v>
      </c>
      <c r="C13" s="32">
        <f t="shared" si="3"/>
        <v>41038.02</v>
      </c>
      <c r="D13" s="32">
        <f t="shared" si="3"/>
        <v>63736.97</v>
      </c>
      <c r="E13" s="32">
        <f t="shared" si="3"/>
        <v>59886.17</v>
      </c>
      <c r="F13" s="32">
        <f t="shared" si="3"/>
        <v>78142.38</v>
      </c>
      <c r="G13" s="32">
        <f t="shared" si="3"/>
        <v>90703.26</v>
      </c>
      <c r="H13" s="32">
        <f t="shared" si="3"/>
        <v>74004.77</v>
      </c>
      <c r="I13" s="32">
        <f t="shared" si="3"/>
        <v>82434.74</v>
      </c>
      <c r="J13" s="32">
        <f t="shared" si="3"/>
        <v>68286.92</v>
      </c>
      <c r="K13" s="32">
        <f t="shared" si="3"/>
        <v>61941.91</v>
      </c>
      <c r="L13" s="32">
        <f t="shared" si="3"/>
        <v>58235.13</v>
      </c>
      <c r="M13" s="32">
        <f t="shared" si="3"/>
        <v>16506.49</v>
      </c>
      <c r="N13" s="32">
        <f t="shared" si="3"/>
        <v>1218.58</v>
      </c>
      <c r="O13" s="33">
        <f t="shared" si="4"/>
        <v>716852.02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5"/>
      <c r="C14" s="25"/>
      <c r="D14" s="25"/>
      <c r="E14" s="25"/>
      <c r="F14" s="25"/>
      <c r="G14" s="25"/>
      <c r="H14" s="25"/>
      <c r="I14" s="25"/>
      <c r="J14" s="7"/>
      <c r="K14" s="7"/>
      <c r="L14" s="7"/>
      <c r="M14" s="8"/>
      <c r="N14" s="8"/>
      <c r="O14" s="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2026.0</v>
      </c>
      <c r="M15" s="7">
        <v>2026.0</v>
      </c>
      <c r="N15" s="7">
        <v>2026.0</v>
      </c>
      <c r="O15" s="8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9" t="s">
        <v>21</v>
      </c>
      <c r="B16" s="10" t="s">
        <v>1</v>
      </c>
      <c r="C16" s="10" t="s">
        <v>2</v>
      </c>
      <c r="D16" s="10" t="s">
        <v>3</v>
      </c>
      <c r="E16" s="11" t="s">
        <v>4</v>
      </c>
      <c r="F16" s="11" t="s">
        <v>5</v>
      </c>
      <c r="G16" s="11" t="s">
        <v>6</v>
      </c>
      <c r="H16" s="11" t="s">
        <v>7</v>
      </c>
      <c r="I16" s="11" t="s">
        <v>8</v>
      </c>
      <c r="J16" s="11" t="s">
        <v>9</v>
      </c>
      <c r="K16" s="11" t="s">
        <v>10</v>
      </c>
      <c r="L16" s="11" t="s">
        <v>11</v>
      </c>
      <c r="M16" s="11" t="s">
        <v>12</v>
      </c>
      <c r="N16" s="11" t="s">
        <v>1</v>
      </c>
      <c r="O16" s="12" t="s">
        <v>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4" t="s">
        <v>22</v>
      </c>
      <c r="B17" s="35">
        <v>0.0</v>
      </c>
      <c r="C17" s="35">
        <v>0.0</v>
      </c>
      <c r="D17" s="35">
        <v>0.0</v>
      </c>
      <c r="E17" s="35">
        <v>0.0</v>
      </c>
      <c r="F17" s="35">
        <v>0.0</v>
      </c>
      <c r="G17" s="35">
        <v>0.0</v>
      </c>
      <c r="H17" s="35">
        <v>0.0</v>
      </c>
      <c r="I17" s="35">
        <v>0.0</v>
      </c>
      <c r="J17" s="35">
        <v>0.0</v>
      </c>
      <c r="K17" s="35">
        <v>0.0</v>
      </c>
      <c r="L17" s="35">
        <v>0.0</v>
      </c>
      <c r="M17" s="35">
        <v>0.0</v>
      </c>
      <c r="N17" s="35">
        <v>0.0</v>
      </c>
      <c r="O17" s="36">
        <f t="shared" ref="O17:O18" si="5">SUM(C17:N17)</f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5" t="s">
        <v>23</v>
      </c>
      <c r="B18" s="35">
        <v>0.0</v>
      </c>
      <c r="C18" s="35">
        <v>0.0</v>
      </c>
      <c r="D18" s="35">
        <v>0.0</v>
      </c>
      <c r="E18" s="35">
        <v>0.0</v>
      </c>
      <c r="F18" s="35">
        <v>0.0</v>
      </c>
      <c r="G18" s="35">
        <v>0.0</v>
      </c>
      <c r="H18" s="35">
        <v>0.0</v>
      </c>
      <c r="I18" s="35">
        <v>0.0</v>
      </c>
      <c r="J18" s="35">
        <v>0.0</v>
      </c>
      <c r="K18" s="35">
        <v>0.0</v>
      </c>
      <c r="L18" s="35">
        <v>0.0</v>
      </c>
      <c r="M18" s="35">
        <v>0.0</v>
      </c>
      <c r="N18" s="35">
        <v>0.0</v>
      </c>
      <c r="O18" s="36">
        <f t="shared" si="5"/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7" t="s">
        <v>24</v>
      </c>
      <c r="B19" s="35">
        <v>16920.97</v>
      </c>
      <c r="C19" s="35">
        <v>34095.06</v>
      </c>
      <c r="D19" s="35">
        <v>52632.52</v>
      </c>
      <c r="E19" s="35">
        <v>47153.04</v>
      </c>
      <c r="F19" s="35">
        <v>63713.37</v>
      </c>
      <c r="G19" s="35">
        <v>70095.88</v>
      </c>
      <c r="H19" s="35">
        <v>62508.86</v>
      </c>
      <c r="I19" s="35">
        <v>69616.09</v>
      </c>
      <c r="J19" s="35">
        <v>50694.28</v>
      </c>
      <c r="K19" s="28">
        <v>50185.63</v>
      </c>
      <c r="L19" s="29">
        <v>48888.85</v>
      </c>
      <c r="M19" s="29">
        <v>13781.06</v>
      </c>
      <c r="N19" s="29">
        <v>0.0</v>
      </c>
      <c r="O19" s="36">
        <f>SUM(B19:N19)</f>
        <v>580285.61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5" t="s">
        <v>25</v>
      </c>
      <c r="B20" s="35">
        <v>0.0</v>
      </c>
      <c r="C20" s="35">
        <v>0.0</v>
      </c>
      <c r="D20" s="35">
        <v>0.0</v>
      </c>
      <c r="E20" s="35">
        <v>0.0</v>
      </c>
      <c r="F20" s="35">
        <v>0.0</v>
      </c>
      <c r="G20" s="35">
        <v>0.0</v>
      </c>
      <c r="H20" s="35">
        <v>0.0</v>
      </c>
      <c r="I20" s="35">
        <v>0.0</v>
      </c>
      <c r="J20" s="35">
        <v>0.0</v>
      </c>
      <c r="K20" s="35">
        <v>0.0</v>
      </c>
      <c r="L20" s="35">
        <v>0.0</v>
      </c>
      <c r="M20" s="35">
        <v>0.0</v>
      </c>
      <c r="N20" s="35">
        <v>0.0</v>
      </c>
      <c r="O20" s="36">
        <f t="shared" ref="O20:O21" si="6">SUM(C20:N20)</f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 t="s">
        <v>26</v>
      </c>
      <c r="B21" s="35">
        <v>0.0</v>
      </c>
      <c r="C21" s="35">
        <v>0.0</v>
      </c>
      <c r="D21" s="35">
        <v>0.0</v>
      </c>
      <c r="E21" s="35">
        <v>0.0</v>
      </c>
      <c r="F21" s="35">
        <v>0.0</v>
      </c>
      <c r="G21" s="35">
        <v>0.0</v>
      </c>
      <c r="H21" s="35">
        <v>0.0</v>
      </c>
      <c r="I21" s="35">
        <v>0.0</v>
      </c>
      <c r="J21" s="35">
        <v>0.0</v>
      </c>
      <c r="K21" s="35">
        <v>0.0</v>
      </c>
      <c r="L21" s="35">
        <v>0.0</v>
      </c>
      <c r="M21" s="35">
        <v>0.0</v>
      </c>
      <c r="N21" s="35">
        <v>0.0</v>
      </c>
      <c r="O21" s="36">
        <f t="shared" si="6"/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7" t="s">
        <v>27</v>
      </c>
      <c r="B22" s="35">
        <v>908.04</v>
      </c>
      <c r="C22" s="35">
        <v>1819.8</v>
      </c>
      <c r="D22" s="35">
        <v>2830.47</v>
      </c>
      <c r="E22" s="35">
        <v>2825.61</v>
      </c>
      <c r="F22" s="38">
        <v>3590.74</v>
      </c>
      <c r="G22" s="38">
        <v>4325.6</v>
      </c>
      <c r="H22" s="38">
        <v>3311.27</v>
      </c>
      <c r="I22" s="38">
        <v>3801.76</v>
      </c>
      <c r="J22" s="38">
        <v>3253.73</v>
      </c>
      <c r="K22" s="38">
        <v>2865.76</v>
      </c>
      <c r="L22" s="38">
        <v>2668.64</v>
      </c>
      <c r="M22" s="38">
        <v>678.16</v>
      </c>
      <c r="N22" s="35">
        <v>48.56</v>
      </c>
      <c r="O22" s="36">
        <f>SUM(B22:N22)</f>
        <v>32928.14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4" t="s">
        <v>28</v>
      </c>
      <c r="B23" s="35">
        <v>0.0</v>
      </c>
      <c r="C23" s="35">
        <v>0.0</v>
      </c>
      <c r="D23" s="35">
        <v>0.0</v>
      </c>
      <c r="E23" s="35">
        <v>0.0</v>
      </c>
      <c r="F23" s="35">
        <v>0.0</v>
      </c>
      <c r="G23" s="35">
        <v>0.0</v>
      </c>
      <c r="H23" s="35">
        <v>0.0</v>
      </c>
      <c r="I23" s="35">
        <v>0.0</v>
      </c>
      <c r="J23" s="35">
        <v>0.0</v>
      </c>
      <c r="K23" s="35">
        <v>0.0</v>
      </c>
      <c r="L23" s="35">
        <v>0.0</v>
      </c>
      <c r="M23" s="35">
        <v>0.0</v>
      </c>
      <c r="N23" s="35">
        <v>0.0</v>
      </c>
      <c r="O23" s="36">
        <f>SUM(C23:N23)</f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4" t="s">
        <v>29</v>
      </c>
      <c r="B24" s="35">
        <v>188.73</v>
      </c>
      <c r="C24" s="35">
        <v>437.09</v>
      </c>
      <c r="D24" s="35">
        <v>600.0</v>
      </c>
      <c r="E24" s="35">
        <v>400.73</v>
      </c>
      <c r="F24" s="35">
        <v>443.73</v>
      </c>
      <c r="G24" s="35">
        <v>576.73</v>
      </c>
      <c r="H24" s="35">
        <v>700.0</v>
      </c>
      <c r="I24" s="35">
        <v>576.73</v>
      </c>
      <c r="J24" s="35">
        <v>576.73</v>
      </c>
      <c r="K24" s="35">
        <v>556.73</v>
      </c>
      <c r="L24" s="35">
        <v>534.74</v>
      </c>
      <c r="M24" s="39">
        <v>484.0</v>
      </c>
      <c r="N24" s="35">
        <v>0.0</v>
      </c>
      <c r="O24" s="36">
        <f t="shared" ref="O24:O25" si="7">SUM(B24:N24)</f>
        <v>6075.94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 t="s">
        <v>30</v>
      </c>
      <c r="B25" s="35">
        <v>0.0</v>
      </c>
      <c r="C25" s="35">
        <v>0.0</v>
      </c>
      <c r="D25" s="35">
        <v>0.0</v>
      </c>
      <c r="E25" s="35">
        <v>85.0</v>
      </c>
      <c r="F25" s="35">
        <v>85.0</v>
      </c>
      <c r="G25" s="35">
        <v>190.0</v>
      </c>
      <c r="H25" s="35">
        <v>260.0</v>
      </c>
      <c r="I25" s="35">
        <v>380.0</v>
      </c>
      <c r="J25" s="35">
        <v>380.0</v>
      </c>
      <c r="K25" s="28">
        <v>460.0</v>
      </c>
      <c r="L25" s="29">
        <v>85.0</v>
      </c>
      <c r="M25" s="29">
        <v>60.0</v>
      </c>
      <c r="N25" s="35">
        <v>20.0</v>
      </c>
      <c r="O25" s="36">
        <f t="shared" si="7"/>
        <v>2005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31</v>
      </c>
      <c r="B26" s="35">
        <v>0.0</v>
      </c>
      <c r="C26" s="35">
        <v>0.0</v>
      </c>
      <c r="D26" s="35">
        <v>0.0</v>
      </c>
      <c r="E26" s="35">
        <v>0.0</v>
      </c>
      <c r="F26" s="35">
        <v>0.0</v>
      </c>
      <c r="G26" s="35">
        <v>0.0</v>
      </c>
      <c r="H26" s="35">
        <v>0.0</v>
      </c>
      <c r="I26" s="35">
        <v>0.0</v>
      </c>
      <c r="J26" s="35">
        <v>0.0</v>
      </c>
      <c r="K26" s="35">
        <v>0.0</v>
      </c>
      <c r="L26" s="35">
        <v>0.0</v>
      </c>
      <c r="M26" s="35">
        <v>0.0</v>
      </c>
      <c r="N26" s="35">
        <v>0.0</v>
      </c>
      <c r="O26" s="36">
        <f>SUM(C26:N26)</f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7" t="s">
        <v>32</v>
      </c>
      <c r="B27" s="35">
        <v>0.0</v>
      </c>
      <c r="C27" s="35">
        <v>38.73</v>
      </c>
      <c r="D27" s="35">
        <v>209.14</v>
      </c>
      <c r="E27" s="35">
        <v>313.25</v>
      </c>
      <c r="F27" s="35">
        <v>301.88</v>
      </c>
      <c r="G27" s="35">
        <v>281.75</v>
      </c>
      <c r="H27" s="35">
        <v>269.0</v>
      </c>
      <c r="I27" s="35">
        <v>254.54</v>
      </c>
      <c r="J27" s="35">
        <v>313.45</v>
      </c>
      <c r="K27" s="35">
        <v>287.67</v>
      </c>
      <c r="L27" s="35">
        <v>198.31</v>
      </c>
      <c r="M27" s="35">
        <v>169.77</v>
      </c>
      <c r="N27" s="35">
        <v>0.0</v>
      </c>
      <c r="O27" s="36">
        <f t="shared" ref="O27:O28" si="8">SUM(B27:N27)</f>
        <v>2637.49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 t="s">
        <v>33</v>
      </c>
      <c r="B28" s="35">
        <v>0.0</v>
      </c>
      <c r="C28" s="35">
        <v>0.0</v>
      </c>
      <c r="D28" s="35">
        <v>0.0</v>
      </c>
      <c r="E28" s="35">
        <v>0.0</v>
      </c>
      <c r="F28" s="35">
        <v>300.0</v>
      </c>
      <c r="G28" s="35">
        <v>0.0</v>
      </c>
      <c r="H28" s="35">
        <v>0.0</v>
      </c>
      <c r="I28" s="35">
        <v>0.0</v>
      </c>
      <c r="J28" s="35">
        <v>0.0</v>
      </c>
      <c r="K28" s="35">
        <v>0.0</v>
      </c>
      <c r="L28" s="35">
        <v>0.0</v>
      </c>
      <c r="M28" s="35">
        <v>0.0</v>
      </c>
      <c r="N28" s="35">
        <v>0.0</v>
      </c>
      <c r="O28" s="36">
        <f t="shared" si="8"/>
        <v>300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34</v>
      </c>
      <c r="B29" s="42"/>
      <c r="C29" s="42"/>
      <c r="D29" s="42"/>
      <c r="E29" s="42"/>
      <c r="F29" s="42"/>
      <c r="G29" s="42"/>
      <c r="H29" s="42"/>
      <c r="I29" s="38"/>
      <c r="J29" s="42"/>
      <c r="K29" s="42"/>
      <c r="L29" s="42"/>
      <c r="M29" s="42"/>
      <c r="N29" s="42"/>
      <c r="O29" s="36">
        <f>SUM(C29:N29)</f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35</v>
      </c>
      <c r="B30" s="43">
        <f t="shared" ref="B30:N30" si="9">SUM(B17:B29)</f>
        <v>18017.74</v>
      </c>
      <c r="C30" s="43">
        <f t="shared" si="9"/>
        <v>36390.68</v>
      </c>
      <c r="D30" s="43">
        <f t="shared" si="9"/>
        <v>56272.13</v>
      </c>
      <c r="E30" s="43">
        <f t="shared" si="9"/>
        <v>50777.63</v>
      </c>
      <c r="F30" s="43">
        <f t="shared" si="9"/>
        <v>68434.72</v>
      </c>
      <c r="G30" s="43">
        <f t="shared" si="9"/>
        <v>75469.96</v>
      </c>
      <c r="H30" s="43">
        <f t="shared" si="9"/>
        <v>67049.13</v>
      </c>
      <c r="I30" s="43">
        <f t="shared" si="9"/>
        <v>74629.12</v>
      </c>
      <c r="J30" s="43">
        <f t="shared" si="9"/>
        <v>55218.19</v>
      </c>
      <c r="K30" s="43">
        <f t="shared" si="9"/>
        <v>54355.79</v>
      </c>
      <c r="L30" s="43">
        <f t="shared" si="9"/>
        <v>52375.54</v>
      </c>
      <c r="M30" s="43">
        <f t="shared" si="9"/>
        <v>15172.99</v>
      </c>
      <c r="N30" s="43">
        <f t="shared" si="9"/>
        <v>68.56</v>
      </c>
      <c r="O30" s="44">
        <f>SUM(B30:N30)</f>
        <v>624232.18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37"/>
      <c r="C31" s="37"/>
      <c r="D31" s="37"/>
      <c r="E31" s="45"/>
      <c r="F31" s="45"/>
      <c r="G31" s="45"/>
      <c r="H31" s="45"/>
      <c r="I31" s="45"/>
      <c r="J31" s="37"/>
      <c r="K31" s="37"/>
      <c r="L31" s="25"/>
      <c r="M31" s="8"/>
      <c r="N31" s="8"/>
      <c r="O31" s="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9" t="s">
        <v>36</v>
      </c>
      <c r="B32" s="10" t="s">
        <v>1</v>
      </c>
      <c r="C32" s="10" t="s">
        <v>2</v>
      </c>
      <c r="D32" s="10" t="s">
        <v>3</v>
      </c>
      <c r="E32" s="11" t="s">
        <v>4</v>
      </c>
      <c r="F32" s="11" t="s">
        <v>5</v>
      </c>
      <c r="G32" s="11" t="s">
        <v>6</v>
      </c>
      <c r="H32" s="11" t="s">
        <v>7</v>
      </c>
      <c r="I32" s="11" t="s">
        <v>8</v>
      </c>
      <c r="J32" s="11" t="s">
        <v>9</v>
      </c>
      <c r="K32" s="11" t="s">
        <v>10</v>
      </c>
      <c r="L32" s="11" t="s">
        <v>11</v>
      </c>
      <c r="M32" s="11" t="s">
        <v>12</v>
      </c>
      <c r="N32" s="11" t="s">
        <v>1</v>
      </c>
      <c r="O32" s="46" t="s">
        <v>37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38</v>
      </c>
      <c r="B33" s="43">
        <f t="shared" ref="B33:N33" si="10">MINUS(B13,B30)</f>
        <v>2698.94</v>
      </c>
      <c r="C33" s="43">
        <f t="shared" si="10"/>
        <v>4647.34</v>
      </c>
      <c r="D33" s="43">
        <f t="shared" si="10"/>
        <v>7464.84</v>
      </c>
      <c r="E33" s="43">
        <f t="shared" si="10"/>
        <v>9108.54</v>
      </c>
      <c r="F33" s="43">
        <f t="shared" si="10"/>
        <v>9707.66</v>
      </c>
      <c r="G33" s="43">
        <f t="shared" si="10"/>
        <v>15233.3</v>
      </c>
      <c r="H33" s="43">
        <f t="shared" si="10"/>
        <v>6955.64</v>
      </c>
      <c r="I33" s="43">
        <f t="shared" si="10"/>
        <v>7805.62</v>
      </c>
      <c r="J33" s="43">
        <f t="shared" si="10"/>
        <v>13068.73</v>
      </c>
      <c r="K33" s="43">
        <f t="shared" si="10"/>
        <v>7586.12</v>
      </c>
      <c r="L33" s="43">
        <f t="shared" si="10"/>
        <v>5859.59</v>
      </c>
      <c r="M33" s="43">
        <f t="shared" si="10"/>
        <v>1333.5</v>
      </c>
      <c r="N33" s="43">
        <f t="shared" si="10"/>
        <v>1150.02</v>
      </c>
      <c r="O33" s="44">
        <f>SUM(B33:N33)</f>
        <v>92619.84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49">
        <f>SUM(O19)</f>
        <v>580285.61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17"/>
      <c r="N37" s="17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49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17"/>
      <c r="N38" s="1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17"/>
      <c r="N39" s="17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49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7" t="s">
        <v>26</v>
      </c>
      <c r="B41" s="49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1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1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1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