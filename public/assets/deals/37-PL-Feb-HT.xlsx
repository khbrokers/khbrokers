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>
    <definedName hidden="1" localSheetId="2" name="_xlnm._FilterDatabase">'2024'!$L$21:$L$30</definedName>
    <definedName hidden="1" localSheetId="3" name="_xlnm._FilterDatabase">'2023'!$L$21:$L$30</definedName>
  </definedNames>
  <calcPr/>
</workbook>
</file>

<file path=xl/sharedStrings.xml><?xml version="1.0" encoding="utf-8"?>
<sst xmlns="http://schemas.openxmlformats.org/spreadsheetml/2006/main" count="292" uniqueCount="50">
  <si>
    <t>Income</t>
  </si>
  <si>
    <t xml:space="preserve">January </t>
  </si>
  <si>
    <t>February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</si>
  <si>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</si>
  <si>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</si>
  <si>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</si>
  <si>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</si>
  <si>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</si>
  <si>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</si>
  <si>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</si>
  <si>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</si>
  <si>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</si>
  <si>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Video Editors</t>
  </si>
  <si>
    <t>Google</t>
  </si>
  <si>
    <t>Facebook</t>
  </si>
  <si>
    <t>DMCAs</t>
  </si>
  <si>
    <t>Web Dev</t>
  </si>
  <si>
    <t>Processing Fees</t>
  </si>
  <si>
    <t>Content Costs</t>
  </si>
  <si>
    <t xml:space="preserve">Shopify Bill </t>
  </si>
  <si>
    <t>Klavyio</t>
  </si>
  <si>
    <t>Tracking Software</t>
  </si>
  <si>
    <t>Customer Support</t>
  </si>
  <si>
    <t>Email Agency</t>
  </si>
  <si>
    <t>Google Agency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</si>
  <si>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</si>
  <si>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</si>
  <si>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</si>
  <si>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</si>
  <si>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</si>
  <si>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</si>
  <si>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</si>
  <si>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Snapchat</t>
  </si>
  <si>
    <t>Pinterest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</si>
  <si>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</si>
  <si>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</si>
  <si>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</si>
  <si>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</si>
  <si>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</si>
  <si>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</si>
  <si>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</si>
  <si>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</si>
  <si>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</si>
  <si>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</si>
  <si>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</si>
  <si>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TikTok</t>
  </si>
  <si>
    <t>(Klaviyo, TripleWhale)</t>
  </si>
  <si>
    <t xml:space="preserve">3rd Party Softwares </t>
  </si>
  <si>
    <t>Virtual Assistant(s)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</si>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</sst>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1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4" numFmtId="0" xfId="0" applyFont="1"/>
    <xf borderId="0" fillId="2" fontId="4" numFmtId="0" xfId="0" applyAlignment="1" applyFont="1">
      <alignment horizontal="right" vertical="bottom"/>
    </xf>
    <xf borderId="0" fillId="0" fontId="5" numFmtId="164" xfId="0" applyAlignment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64" xfId="0" applyFont="1" applyNumberFormat="1"/>
    <xf borderId="0" fillId="0" fontId="6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shrinkToFit="0" wrapText="0"/>
    </xf>
    <xf borderId="0" fillId="0" fontId="7" numFmtId="164" xfId="0" applyAlignment="1" applyFont="1" applyNumberFormat="1">
      <alignment horizontal="right"/>
    </xf>
    <xf borderId="0" fillId="0" fontId="6" numFmtId="164" xfId="0" applyAlignment="1" applyFont="1" applyNumberFormat="1">
      <alignment horizontal="right"/>
    </xf>
    <xf borderId="0" fillId="3" fontId="5" numFmtId="164" xfId="0" applyAlignment="1" applyFill="1" applyFont="1" applyNumberFormat="1">
      <alignment vertical="bottom"/>
    </xf>
    <xf borderId="0" fillId="0" fontId="7" numFmtId="164" xfId="0" applyAlignment="1" applyFont="1" applyNumberFormat="1">
      <alignment shrinkToFit="0" wrapText="0"/>
    </xf>
    <xf borderId="0" fillId="0" fontId="5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readingOrder="0" shrinkToFit="0" wrapText="0"/>
    </xf>
    <xf borderId="0" fillId="3" fontId="8" numFmtId="0" xfId="0" applyAlignment="1" applyFont="1">
      <alignment vertical="bottom"/>
    </xf>
    <xf borderId="0" fillId="4" fontId="8" numFmtId="164" xfId="0" applyAlignment="1" applyFill="1" applyFont="1" applyNumberFormat="1">
      <alignment shrinkToFit="0" wrapText="0"/>
    </xf>
    <xf borderId="0" fillId="4" fontId="8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5" fontId="6" numFmtId="164" xfId="0" applyAlignment="1" applyFill="1" applyFont="1" applyNumberFormat="1">
      <alignment horizontal="right" vertical="bottom"/>
    </xf>
    <xf borderId="0" fillId="5" fontId="6" numFmtId="164" xfId="0" applyAlignment="1" applyFont="1" applyNumberFormat="1">
      <alignment horizontal="right" readingOrder="0" vertical="bottom"/>
    </xf>
    <xf borderId="0" fillId="5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3" fontId="9" numFmtId="164" xfId="0" applyAlignment="1" applyFont="1" applyNumberFormat="1">
      <alignment horizontal="right" vertical="bottom"/>
    </xf>
    <xf borderId="0" fillId="3" fontId="9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3" fontId="5" numFmtId="165" xfId="0" applyAlignment="1" applyFont="1" applyNumberFormat="1">
      <alignment horizontal="right" vertical="bottom"/>
    </xf>
    <xf borderId="0" fillId="0" fontId="5" numFmtId="0" xfId="0" applyFont="1"/>
    <xf borderId="0" fillId="0" fontId="5" numFmtId="164" xfId="0" applyAlignment="1" applyFont="1" applyNumberFormat="1">
      <alignment readingOrder="0"/>
    </xf>
    <xf borderId="0" fillId="0" fontId="5" numFmtId="164" xfId="0" applyAlignment="1" applyFont="1" applyNumberFormat="1">
      <alignment horizontal="right"/>
    </xf>
    <xf borderId="0" fillId="5" fontId="7" numFmtId="164" xfId="0" applyFont="1" applyNumberFormat="1"/>
    <xf borderId="0" fillId="5" fontId="7" numFmtId="16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10" numFmtId="0" xfId="0" applyFont="1"/>
    <xf borderId="0" fillId="0" fontId="5" numFmtId="164" xfId="0" applyAlignment="1" applyFont="1" applyNumberFormat="1">
      <alignment horizontal="right" readingOrder="0"/>
    </xf>
    <xf borderId="0" fillId="3" fontId="9" numFmtId="165" xfId="0" applyAlignment="1" applyFont="1" applyNumberFormat="1">
      <alignment horizontal="right" vertical="bottom"/>
    </xf>
    <xf borderId="0" fillId="5" fontId="2" numFmtId="0" xfId="0" applyAlignment="1" applyFont="1">
      <alignment vertical="bottom"/>
    </xf>
    <xf borderId="0" fillId="3" fontId="8" numFmtId="165" xfId="0" applyAlignment="1" applyFont="1" applyNumberFormat="1">
      <alignment horizontal="right" vertical="bottom"/>
    </xf>
    <xf borderId="0" fillId="0" fontId="8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5" fontId="10" numFmtId="0" xfId="0" applyAlignment="1" applyFont="1">
      <alignment vertical="bottom"/>
    </xf>
    <xf borderId="0" fillId="5" fontId="10" numFmtId="165" xfId="0" applyAlignment="1" applyFont="1" applyNumberFormat="1">
      <alignment horizontal="right" vertical="bottom"/>
    </xf>
    <xf borderId="0" fillId="5" fontId="2" numFmtId="4" xfId="0" applyAlignment="1" applyFont="1" applyNumberFormat="1">
      <alignment horizontal="right" vertical="bottom"/>
    </xf>
    <xf borderId="0" fillId="6" fontId="7" numFmtId="164" xfId="0" applyAlignment="1" applyFill="1" applyFont="1" applyNumberFormat="1">
      <alignment horizontal="right" shrinkToFit="0" wrapText="0"/>
    </xf>
    <xf borderId="0" fillId="6" fontId="7" numFmtId="164" xfId="0" applyAlignment="1" applyFont="1" applyNumberFormat="1">
      <alignment horizontal="right"/>
    </xf>
    <xf borderId="0" fillId="5" fontId="7" numFmtId="164" xfId="0" applyAlignment="1" applyFont="1" applyNumberFormat="1">
      <alignment horizontal="right"/>
    </xf>
    <xf borderId="0" fillId="5" fontId="6" numFmtId="164" xfId="0" applyAlignment="1" applyFont="1" applyNumberFormat="1">
      <alignment horizontal="right"/>
    </xf>
    <xf borderId="0" fillId="5" fontId="7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'2026'!$A$37:$A$41</c:f>
            </c:strRef>
          </c:cat>
          <c:val>
            <c:numRef>
              <c:f>'2026'!$B$37:$B$41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'2025'!$A$37:$A$41</c:f>
            </c:strRef>
          </c:cat>
          <c:val>
            <c:numRef>
              <c:f>'2025'!$B$37:$B$41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/>
      <c r="B3" s="2">
        <v>2026.0</v>
      </c>
      <c r="C3" s="2">
        <v>2026.0</v>
      </c>
      <c r="D3" s="2">
        <v>2026.0</v>
      </c>
      <c r="E3" s="2">
        <v>2026.0</v>
      </c>
      <c r="F3" s="2">
        <v>2026.0</v>
      </c>
      <c r="G3" s="2">
        <v>2026.0</v>
      </c>
      <c r="H3" s="2">
        <v>2026.0</v>
      </c>
      <c r="I3" s="2">
        <v>2026.0</v>
      </c>
      <c r="J3" s="2">
        <v>2026.0</v>
      </c>
      <c r="K3" s="2">
        <v>2026.0</v>
      </c>
      <c r="L3" s="2">
        <v>2026.0</v>
      </c>
      <c r="M3" s="2">
        <v>2026.0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0</v>
      </c>
      <c r="B4" s="7" t="s">
        <v>1</v>
      </c>
      <c r="C4" s="7" t="s">
        <v>2</v>
      </c>
      <c r="D4" s="7"/>
      <c r="E4" s="6"/>
      <c r="F4" s="6"/>
      <c r="G4" s="6"/>
      <c r="H4" s="6"/>
      <c r="I4" s="6"/>
      <c r="J4" s="6"/>
      <c r="K4" s="6"/>
      <c r="L4" s="6"/>
      <c r="M4" s="6"/>
      <c r="N4" s="8" t="s">
        <v>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4</v>
      </c>
      <c r="B5" s="9">
        <v>603061.0</v>
      </c>
      <c r="C5" s="10">
        <v>504021.0</v>
      </c>
      <c r="D5" s="11"/>
      <c r="E5" s="12"/>
      <c r="F5" s="12"/>
      <c r="G5" s="13"/>
      <c r="H5" s="14"/>
      <c r="I5" s="14"/>
      <c r="J5" s="15"/>
      <c r="K5" s="14"/>
      <c r="L5" s="13"/>
      <c r="M5" s="13"/>
      <c r="N5" s="16">
        <f t="shared" ref="N5:N8" si="1">SUM(B5:M5)</f>
        <v>1107082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5</v>
      </c>
      <c r="B6" s="9">
        <v>20580.0</v>
      </c>
      <c r="C6" s="10">
        <v>21667.0</v>
      </c>
      <c r="D6" s="11"/>
      <c r="E6" s="12"/>
      <c r="F6" s="11"/>
      <c r="G6" s="12"/>
      <c r="H6" s="13"/>
      <c r="I6" s="13"/>
      <c r="J6" s="17"/>
      <c r="K6" s="18"/>
      <c r="L6" s="13"/>
      <c r="M6" s="13"/>
      <c r="N6" s="16">
        <f t="shared" si="1"/>
        <v>42247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6</v>
      </c>
      <c r="B7" s="19">
        <v>4200.0</v>
      </c>
      <c r="C7" s="20">
        <v>2100.0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6">
        <f t="shared" si="1"/>
        <v>6300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1" t="s">
        <v>7</v>
      </c>
      <c r="B8" s="22">
        <f t="shared" ref="B8:C8" si="2">B5-B6-B7</f>
        <v>578281</v>
      </c>
      <c r="C8" s="22">
        <f t="shared" si="2"/>
        <v>480254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3">
        <f t="shared" si="1"/>
        <v>1058535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4">
        <v>2026.0</v>
      </c>
      <c r="C10" s="24">
        <v>2026.0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 t="s">
        <v>8</v>
      </c>
      <c r="B11" s="7" t="s">
        <v>1</v>
      </c>
      <c r="C11" s="7" t="s">
        <v>2</v>
      </c>
      <c r="D11" s="7"/>
      <c r="E11" s="6"/>
      <c r="F11" s="6"/>
      <c r="G11" s="6"/>
      <c r="H11" s="6"/>
      <c r="I11" s="6"/>
      <c r="J11" s="6"/>
      <c r="K11" s="6"/>
      <c r="L11" s="6"/>
      <c r="M11" s="6"/>
      <c r="N11" s="8" t="s">
        <v>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 t="s">
        <v>9</v>
      </c>
      <c r="B12" s="25">
        <v>146279.0</v>
      </c>
      <c r="C12" s="26">
        <v>119766.0</v>
      </c>
      <c r="D12" s="25"/>
      <c r="E12" s="25"/>
      <c r="F12" s="25"/>
      <c r="G12" s="25"/>
      <c r="H12" s="15"/>
      <c r="I12" s="25"/>
      <c r="J12" s="25"/>
      <c r="K12" s="27"/>
      <c r="L12" s="11"/>
      <c r="M12" s="28"/>
      <c r="N12" s="29">
        <f t="shared" ref="N12:N13" si="4">SUM(B12:M12)</f>
        <v>266045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1" t="s">
        <v>10</v>
      </c>
      <c r="B13" s="30">
        <f t="shared" ref="B13:C13" si="3">B8-B12</f>
        <v>432002</v>
      </c>
      <c r="C13" s="30">
        <f t="shared" si="3"/>
        <v>360488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1">
        <f t="shared" si="4"/>
        <v>792490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>
        <v>2026.0</v>
      </c>
      <c r="C15" s="2">
        <v>2026.0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11</v>
      </c>
      <c r="B16" s="7" t="s">
        <v>1</v>
      </c>
      <c r="C16" s="7" t="s">
        <v>2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8" t="s">
        <v>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2" t="s">
        <v>12</v>
      </c>
      <c r="B17" s="18">
        <v>2400.0</v>
      </c>
      <c r="C17" s="18">
        <v>2400.0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33">
        <f t="shared" ref="N17:N30" si="5">SUM(B17:M17)</f>
        <v>4800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4" t="s">
        <v>13</v>
      </c>
      <c r="B18" s="11">
        <v>55985.0</v>
      </c>
      <c r="C18" s="35">
        <v>53800.0</v>
      </c>
      <c r="D18" s="11"/>
      <c r="E18" s="11"/>
      <c r="F18" s="11"/>
      <c r="G18" s="11"/>
      <c r="H18" s="11"/>
      <c r="I18" s="11"/>
      <c r="J18" s="11"/>
      <c r="K18" s="27"/>
      <c r="L18" s="11"/>
      <c r="M18" s="11"/>
      <c r="N18" s="33">
        <f t="shared" si="5"/>
        <v>109785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4" t="s">
        <v>14</v>
      </c>
      <c r="B19" s="11">
        <v>275427.0</v>
      </c>
      <c r="C19" s="35">
        <v>231656.0</v>
      </c>
      <c r="D19" s="11"/>
      <c r="E19" s="11"/>
      <c r="F19" s="11"/>
      <c r="G19" s="11"/>
      <c r="H19" s="11"/>
      <c r="I19" s="11"/>
      <c r="J19" s="11"/>
      <c r="K19" s="27"/>
      <c r="L19" s="11"/>
      <c r="M19" s="11"/>
      <c r="N19" s="33">
        <f t="shared" si="5"/>
        <v>507083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4" t="s">
        <v>15</v>
      </c>
      <c r="B20" s="18">
        <v>1200.0</v>
      </c>
      <c r="C20" s="18">
        <v>1200.0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33">
        <f t="shared" si="5"/>
        <v>2400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4" t="s">
        <v>16</v>
      </c>
      <c r="B21" s="18">
        <v>700.0</v>
      </c>
      <c r="C21" s="18">
        <v>700.0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33">
        <f t="shared" si="5"/>
        <v>1400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2" t="s">
        <v>17</v>
      </c>
      <c r="B22" s="36">
        <f t="shared" ref="B22:C22" si="6">B5*4%</f>
        <v>24122.44</v>
      </c>
      <c r="C22" s="36">
        <f t="shared" si="6"/>
        <v>20160.84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3">
        <f t="shared" si="5"/>
        <v>44283.28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2" t="s">
        <v>18</v>
      </c>
      <c r="B23" s="37">
        <v>1000.0</v>
      </c>
      <c r="C23" s="38">
        <v>300.0</v>
      </c>
      <c r="D23" s="37"/>
      <c r="E23" s="37"/>
      <c r="F23" s="37"/>
      <c r="G23" s="37"/>
      <c r="H23" s="37"/>
      <c r="I23" s="37"/>
      <c r="J23" s="37"/>
      <c r="K23" s="18"/>
      <c r="L23" s="18"/>
      <c r="M23" s="37"/>
      <c r="N23" s="33">
        <f t="shared" si="5"/>
        <v>1300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2" t="s">
        <v>19</v>
      </c>
      <c r="B24" s="37">
        <v>3000.0</v>
      </c>
      <c r="C24" s="37">
        <v>3000.0</v>
      </c>
      <c r="D24" s="37"/>
      <c r="E24" s="37"/>
      <c r="F24" s="37"/>
      <c r="G24" s="37"/>
      <c r="H24" s="37"/>
      <c r="I24" s="37"/>
      <c r="J24" s="37"/>
      <c r="K24" s="18"/>
      <c r="L24" s="18"/>
      <c r="M24" s="37"/>
      <c r="N24" s="33">
        <f t="shared" si="5"/>
        <v>6000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2" t="s">
        <v>20</v>
      </c>
      <c r="B25" s="11">
        <v>1200.0</v>
      </c>
      <c r="C25" s="11">
        <v>1200.0</v>
      </c>
      <c r="D25" s="11"/>
      <c r="E25" s="11"/>
      <c r="F25" s="11"/>
      <c r="G25" s="11"/>
      <c r="H25" s="11"/>
      <c r="I25" s="11"/>
      <c r="J25" s="11"/>
      <c r="K25" s="27"/>
      <c r="L25" s="11"/>
      <c r="M25" s="11"/>
      <c r="N25" s="33">
        <f t="shared" si="5"/>
        <v>2400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9" t="s">
        <v>21</v>
      </c>
      <c r="B26" s="18">
        <v>300.0</v>
      </c>
      <c r="C26" s="18">
        <v>300.0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33">
        <f t="shared" si="5"/>
        <v>600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2" t="s">
        <v>22</v>
      </c>
      <c r="B27" s="18">
        <v>1200.0</v>
      </c>
      <c r="C27" s="18">
        <v>1200.0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33">
        <f t="shared" si="5"/>
        <v>2400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4" t="s">
        <v>23</v>
      </c>
      <c r="B28" s="18">
        <v>2500.0</v>
      </c>
      <c r="C28" s="18">
        <v>2500.0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33">
        <f t="shared" si="5"/>
        <v>5000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0" t="s">
        <v>24</v>
      </c>
      <c r="B29" s="36">
        <v>3275.0</v>
      </c>
      <c r="C29" s="41">
        <v>2500.0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3">
        <f t="shared" si="5"/>
        <v>5775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1" t="s">
        <v>25</v>
      </c>
      <c r="B30" s="42">
        <f t="shared" ref="B30:C30" si="7">SUM(B17:B29)</f>
        <v>372309.44</v>
      </c>
      <c r="C30" s="42">
        <f t="shared" si="7"/>
        <v>320916.84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>
        <f t="shared" si="5"/>
        <v>693226.28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5"/>
      <c r="C31" s="5"/>
      <c r="D31" s="5"/>
      <c r="E31" s="43"/>
      <c r="F31" s="43"/>
      <c r="G31" s="43"/>
      <c r="H31" s="43"/>
      <c r="I31" s="43"/>
      <c r="J31" s="5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26</v>
      </c>
      <c r="B32" s="7" t="s">
        <v>1</v>
      </c>
      <c r="C32" s="7" t="s">
        <v>2</v>
      </c>
      <c r="D32" s="7"/>
      <c r="E32" s="6"/>
      <c r="F32" s="6"/>
      <c r="G32" s="6"/>
      <c r="H32" s="6"/>
      <c r="I32" s="6"/>
      <c r="J32" s="6"/>
      <c r="K32" s="6"/>
      <c r="L32" s="6"/>
      <c r="M32" s="6"/>
      <c r="N32" s="8" t="s">
        <v>27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1" t="s">
        <v>28</v>
      </c>
      <c r="B33" s="44">
        <f t="shared" ref="B33:C33" si="8">MINUS(B13,B30)</f>
        <v>59692.56</v>
      </c>
      <c r="C33" s="44">
        <f t="shared" si="8"/>
        <v>39571.16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>
        <f>SUM(B33:M33)</f>
        <v>99263.72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29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14</v>
      </c>
      <c r="B37" s="46">
        <f>SUM(N19)</f>
        <v>507083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30</v>
      </c>
      <c r="B38" s="46">
        <f>SUM(N18)</f>
        <v>109785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31</v>
      </c>
      <c r="B39" s="46">
        <f>sum(N17)</f>
        <v>4800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32</v>
      </c>
      <c r="B40" s="46">
        <f>SUM(N20)</f>
        <v>2400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33</v>
      </c>
      <c r="B41" s="46">
        <f>sum(N21)</f>
        <v>1400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4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9"/>
      <c r="B50" s="5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3"/>
      <c r="B51" s="5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/>
      <c r="B3" s="2">
        <v>2025.0</v>
      </c>
      <c r="C3" s="2">
        <v>2025.0</v>
      </c>
      <c r="D3" s="2">
        <v>2025.0</v>
      </c>
      <c r="E3" s="2">
        <v>2025.0</v>
      </c>
      <c r="F3" s="2">
        <v>2025.0</v>
      </c>
      <c r="G3" s="2">
        <v>2025.0</v>
      </c>
      <c r="H3" s="2">
        <v>2025.0</v>
      </c>
      <c r="I3" s="2">
        <v>2025.0</v>
      </c>
      <c r="J3" s="2">
        <v>2025.0</v>
      </c>
      <c r="K3" s="2">
        <v>2025.0</v>
      </c>
      <c r="L3" s="2">
        <v>2025.0</v>
      </c>
      <c r="M3" s="2">
        <v>2025.0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0</v>
      </c>
      <c r="B4" s="7" t="s">
        <v>1</v>
      </c>
      <c r="C4" s="7" t="s">
        <v>34</v>
      </c>
      <c r="D4" s="7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  <c r="M4" s="6" t="s">
        <v>44</v>
      </c>
      <c r="N4" s="8" t="s">
        <v>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4</v>
      </c>
      <c r="B5" s="9">
        <v>691639.41</v>
      </c>
      <c r="C5" s="12">
        <v>514667.03</v>
      </c>
      <c r="D5" s="11">
        <v>559981.89</v>
      </c>
      <c r="E5" s="12">
        <v>686669.91</v>
      </c>
      <c r="F5" s="12">
        <v>731175.01</v>
      </c>
      <c r="G5" s="13">
        <v>894543.72</v>
      </c>
      <c r="H5" s="14">
        <v>738712.26</v>
      </c>
      <c r="I5" s="14">
        <v>863411.89</v>
      </c>
      <c r="J5" s="15">
        <v>428464.37</v>
      </c>
      <c r="K5" s="14">
        <v>368557.0</v>
      </c>
      <c r="L5" s="13">
        <v>200701.0</v>
      </c>
      <c r="M5" s="13">
        <v>341664.0</v>
      </c>
      <c r="N5" s="16">
        <f t="shared" ref="N5:N8" si="1">SUM(B5:M5)</f>
        <v>7020187.49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5</v>
      </c>
      <c r="B6" s="9">
        <v>20652.35</v>
      </c>
      <c r="C6" s="12">
        <v>21043.79</v>
      </c>
      <c r="D6" s="11">
        <v>23650.53</v>
      </c>
      <c r="E6" s="12">
        <v>17378.04</v>
      </c>
      <c r="F6" s="11">
        <v>20259.42</v>
      </c>
      <c r="G6" s="12">
        <v>18329.91</v>
      </c>
      <c r="H6" s="13">
        <v>22303.59</v>
      </c>
      <c r="I6" s="13">
        <v>24864.91</v>
      </c>
      <c r="J6" s="17">
        <v>27967.17</v>
      </c>
      <c r="K6" s="18">
        <v>23882.0</v>
      </c>
      <c r="L6" s="13">
        <v>15183.0</v>
      </c>
      <c r="M6" s="13">
        <v>16472.0</v>
      </c>
      <c r="N6" s="16">
        <f t="shared" si="1"/>
        <v>251986.71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6</v>
      </c>
      <c r="B7" s="19">
        <f t="shared" ref="B7:J7" si="2">B5*1.2%</f>
        <v>8299.67292</v>
      </c>
      <c r="C7" s="19">
        <f t="shared" si="2"/>
        <v>6176.00436</v>
      </c>
      <c r="D7" s="19">
        <f t="shared" si="2"/>
        <v>6719.78268</v>
      </c>
      <c r="E7" s="19">
        <f t="shared" si="2"/>
        <v>8240.03892</v>
      </c>
      <c r="F7" s="19">
        <f t="shared" si="2"/>
        <v>8774.10012</v>
      </c>
      <c r="G7" s="19">
        <f t="shared" si="2"/>
        <v>10734.52464</v>
      </c>
      <c r="H7" s="19">
        <f t="shared" si="2"/>
        <v>8864.54712</v>
      </c>
      <c r="I7" s="19">
        <f t="shared" si="2"/>
        <v>10360.94268</v>
      </c>
      <c r="J7" s="19">
        <f t="shared" si="2"/>
        <v>5141.57244</v>
      </c>
      <c r="K7" s="19">
        <v>4200.0</v>
      </c>
      <c r="L7" s="19">
        <v>2031.0</v>
      </c>
      <c r="M7" s="19">
        <v>3900.0</v>
      </c>
      <c r="N7" s="16">
        <f t="shared" si="1"/>
        <v>83442.18588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1" t="s">
        <v>7</v>
      </c>
      <c r="B8" s="22">
        <f t="shared" ref="B8:M8" si="3">B5-B6-B7</f>
        <v>662687.3871</v>
      </c>
      <c r="C8" s="22">
        <f t="shared" si="3"/>
        <v>487447.2356</v>
      </c>
      <c r="D8" s="22">
        <f t="shared" si="3"/>
        <v>529611.5773</v>
      </c>
      <c r="E8" s="22">
        <f t="shared" si="3"/>
        <v>661051.8311</v>
      </c>
      <c r="F8" s="22">
        <f t="shared" si="3"/>
        <v>702141.4899</v>
      </c>
      <c r="G8" s="22">
        <f t="shared" si="3"/>
        <v>865479.2854</v>
      </c>
      <c r="H8" s="22">
        <f t="shared" si="3"/>
        <v>707544.1229</v>
      </c>
      <c r="I8" s="22">
        <f t="shared" si="3"/>
        <v>828186.0373</v>
      </c>
      <c r="J8" s="22">
        <f t="shared" si="3"/>
        <v>395355.6276</v>
      </c>
      <c r="K8" s="22">
        <f t="shared" si="3"/>
        <v>340475</v>
      </c>
      <c r="L8" s="22">
        <f t="shared" si="3"/>
        <v>183487</v>
      </c>
      <c r="M8" s="22">
        <f t="shared" si="3"/>
        <v>321292</v>
      </c>
      <c r="N8" s="23">
        <f t="shared" si="1"/>
        <v>6684758.594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>
        <v>2025.0</v>
      </c>
      <c r="C10" s="2">
        <v>2025.0</v>
      </c>
      <c r="D10" s="2">
        <v>2025.0</v>
      </c>
      <c r="E10" s="2">
        <v>2025.0</v>
      </c>
      <c r="F10" s="2">
        <v>2025.0</v>
      </c>
      <c r="G10" s="2">
        <v>2025.0</v>
      </c>
      <c r="H10" s="2">
        <v>2025.0</v>
      </c>
      <c r="I10" s="2">
        <v>2025.0</v>
      </c>
      <c r="J10" s="2">
        <v>2025.0</v>
      </c>
      <c r="K10" s="2">
        <v>2025.0</v>
      </c>
      <c r="L10" s="2">
        <v>2025.0</v>
      </c>
      <c r="M10" s="2">
        <v>2025.0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 t="s">
        <v>8</v>
      </c>
      <c r="B11" s="7" t="s">
        <v>1</v>
      </c>
      <c r="C11" s="7" t="s">
        <v>34</v>
      </c>
      <c r="D11" s="7" t="s">
        <v>35</v>
      </c>
      <c r="E11" s="6" t="s">
        <v>36</v>
      </c>
      <c r="F11" s="6" t="s">
        <v>37</v>
      </c>
      <c r="G11" s="6" t="s">
        <v>38</v>
      </c>
      <c r="H11" s="6" t="s">
        <v>39</v>
      </c>
      <c r="I11" s="6" t="s">
        <v>40</v>
      </c>
      <c r="J11" s="6" t="s">
        <v>41</v>
      </c>
      <c r="K11" s="6" t="s">
        <v>42</v>
      </c>
      <c r="L11" s="6" t="s">
        <v>43</v>
      </c>
      <c r="M11" s="6" t="s">
        <v>44</v>
      </c>
      <c r="N11" s="8" t="s">
        <v>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 t="s">
        <v>9</v>
      </c>
      <c r="B12" s="25">
        <v>178382.0</v>
      </c>
      <c r="C12" s="25">
        <v>133616.0</v>
      </c>
      <c r="D12" s="25">
        <v>139294.0</v>
      </c>
      <c r="E12" s="25">
        <v>178694.0</v>
      </c>
      <c r="F12" s="25">
        <v>209159.0</v>
      </c>
      <c r="G12" s="25">
        <v>239290.0</v>
      </c>
      <c r="H12" s="15">
        <v>189580.0</v>
      </c>
      <c r="I12" s="25">
        <f>210165+17223</f>
        <v>227388</v>
      </c>
      <c r="J12" s="25">
        <v>105385.0</v>
      </c>
      <c r="K12" s="27">
        <v>90999.0</v>
      </c>
      <c r="L12" s="11">
        <v>49715.0</v>
      </c>
      <c r="M12" s="28">
        <v>83840.0</v>
      </c>
      <c r="N12" s="29">
        <f t="shared" ref="N12:N13" si="5">SUM(B12:M12)</f>
        <v>1825342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1" t="s">
        <v>10</v>
      </c>
      <c r="B13" s="30">
        <f t="shared" ref="B13:M13" si="4">B8-B12</f>
        <v>484305.3871</v>
      </c>
      <c r="C13" s="30">
        <f t="shared" si="4"/>
        <v>353831.2356</v>
      </c>
      <c r="D13" s="30">
        <f t="shared" si="4"/>
        <v>390317.5773</v>
      </c>
      <c r="E13" s="30">
        <f t="shared" si="4"/>
        <v>482357.8311</v>
      </c>
      <c r="F13" s="30">
        <f t="shared" si="4"/>
        <v>492982.4899</v>
      </c>
      <c r="G13" s="30">
        <f t="shared" si="4"/>
        <v>626189.2854</v>
      </c>
      <c r="H13" s="30">
        <f t="shared" si="4"/>
        <v>517964.1229</v>
      </c>
      <c r="I13" s="30">
        <f t="shared" si="4"/>
        <v>600798.0373</v>
      </c>
      <c r="J13" s="30">
        <f t="shared" si="4"/>
        <v>289970.6276</v>
      </c>
      <c r="K13" s="30">
        <f t="shared" si="4"/>
        <v>249476</v>
      </c>
      <c r="L13" s="30">
        <f t="shared" si="4"/>
        <v>133772</v>
      </c>
      <c r="M13" s="30">
        <f t="shared" si="4"/>
        <v>237452</v>
      </c>
      <c r="N13" s="31">
        <f t="shared" si="5"/>
        <v>4859416.594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>
        <v>2025.0</v>
      </c>
      <c r="C15" s="2">
        <v>2025.0</v>
      </c>
      <c r="D15" s="2">
        <v>2025.0</v>
      </c>
      <c r="E15" s="2">
        <v>2025.0</v>
      </c>
      <c r="F15" s="2">
        <v>2025.0</v>
      </c>
      <c r="G15" s="2">
        <v>2025.0</v>
      </c>
      <c r="H15" s="2">
        <v>2025.0</v>
      </c>
      <c r="I15" s="2">
        <v>2025.0</v>
      </c>
      <c r="J15" s="2">
        <v>2025.0</v>
      </c>
      <c r="K15" s="2">
        <v>2025.0</v>
      </c>
      <c r="L15" s="2">
        <v>2025.0</v>
      </c>
      <c r="M15" s="2">
        <v>2025.0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11</v>
      </c>
      <c r="B16" s="7" t="s">
        <v>1</v>
      </c>
      <c r="C16" s="7" t="s">
        <v>34</v>
      </c>
      <c r="D16" s="7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  <c r="J16" s="6" t="s">
        <v>41</v>
      </c>
      <c r="K16" s="6" t="s">
        <v>42</v>
      </c>
      <c r="L16" s="6" t="s">
        <v>43</v>
      </c>
      <c r="M16" s="6" t="s">
        <v>44</v>
      </c>
      <c r="N16" s="8" t="s">
        <v>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2" t="s">
        <v>12</v>
      </c>
      <c r="B17" s="18">
        <v>2400.0</v>
      </c>
      <c r="C17" s="18">
        <v>2400.0</v>
      </c>
      <c r="D17" s="18">
        <v>2400.0</v>
      </c>
      <c r="E17" s="18">
        <v>2400.0</v>
      </c>
      <c r="F17" s="18">
        <v>2400.0</v>
      </c>
      <c r="G17" s="18">
        <v>2400.0</v>
      </c>
      <c r="H17" s="18">
        <v>2400.0</v>
      </c>
      <c r="I17" s="18">
        <v>2400.0</v>
      </c>
      <c r="J17" s="18">
        <v>2400.0</v>
      </c>
      <c r="K17" s="18">
        <v>3000.0</v>
      </c>
      <c r="L17" s="18">
        <v>2400.0</v>
      </c>
      <c r="M17" s="18">
        <v>2400.0</v>
      </c>
      <c r="N17" s="33">
        <f t="shared" ref="N17:N30" si="6">SUM(B17:M17)</f>
        <v>29400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4" t="s">
        <v>13</v>
      </c>
      <c r="B18" s="11">
        <v>38345.0</v>
      </c>
      <c r="C18" s="11">
        <v>32031.0</v>
      </c>
      <c r="D18" s="11">
        <v>33155.0</v>
      </c>
      <c r="E18" s="11">
        <v>106310.0</v>
      </c>
      <c r="F18" s="11">
        <v>135520.0</v>
      </c>
      <c r="G18" s="11">
        <v>202620.0</v>
      </c>
      <c r="H18" s="11">
        <v>117870.0</v>
      </c>
      <c r="I18" s="11">
        <v>183080.0</v>
      </c>
      <c r="J18" s="11">
        <v>73542.0</v>
      </c>
      <c r="K18" s="27">
        <v>26056.0</v>
      </c>
      <c r="L18" s="11">
        <v>20662.0</v>
      </c>
      <c r="M18" s="11">
        <v>40277.0</v>
      </c>
      <c r="N18" s="33">
        <f t="shared" si="6"/>
        <v>1009468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4" t="s">
        <v>14</v>
      </c>
      <c r="B19" s="11">
        <f>338178+12188+5502</f>
        <v>355868</v>
      </c>
      <c r="C19" s="11">
        <v>225420.0</v>
      </c>
      <c r="D19" s="11">
        <v>260035.0</v>
      </c>
      <c r="E19" s="11">
        <v>249654.0</v>
      </c>
      <c r="F19" s="11">
        <v>247540.0</v>
      </c>
      <c r="G19" s="11">
        <v>248574.0</v>
      </c>
      <c r="H19" s="11">
        <v>250605.0</v>
      </c>
      <c r="I19" s="11">
        <f>246535+34212</f>
        <v>280747</v>
      </c>
      <c r="J19" s="11">
        <v>144049.0</v>
      </c>
      <c r="K19" s="27">
        <v>176383.0</v>
      </c>
      <c r="L19" s="11">
        <v>98757.0</v>
      </c>
      <c r="M19" s="11">
        <v>137178.0</v>
      </c>
      <c r="N19" s="33">
        <f t="shared" si="6"/>
        <v>2674810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4" t="s">
        <v>15</v>
      </c>
      <c r="B20" s="18">
        <v>800.0</v>
      </c>
      <c r="C20" s="18">
        <v>800.0</v>
      </c>
      <c r="D20" s="18">
        <v>800.0</v>
      </c>
      <c r="E20" s="18">
        <v>800.0</v>
      </c>
      <c r="F20" s="18">
        <v>800.0</v>
      </c>
      <c r="G20" s="18">
        <v>800.0</v>
      </c>
      <c r="H20" s="18">
        <v>800.0</v>
      </c>
      <c r="I20" s="18">
        <v>800.0</v>
      </c>
      <c r="J20" s="18">
        <v>800.0</v>
      </c>
      <c r="K20" s="18">
        <v>1000.0</v>
      </c>
      <c r="L20" s="18">
        <v>800.0</v>
      </c>
      <c r="M20" s="18">
        <v>800.0</v>
      </c>
      <c r="N20" s="33">
        <f t="shared" si="6"/>
        <v>9800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4" t="s">
        <v>16</v>
      </c>
      <c r="B21" s="18">
        <v>800.0</v>
      </c>
      <c r="C21" s="18">
        <v>800.0</v>
      </c>
      <c r="D21" s="18">
        <v>800.0</v>
      </c>
      <c r="E21" s="18">
        <v>800.0</v>
      </c>
      <c r="F21" s="18">
        <v>800.0</v>
      </c>
      <c r="G21" s="18">
        <v>800.0</v>
      </c>
      <c r="H21" s="18">
        <v>800.0</v>
      </c>
      <c r="I21" s="18">
        <v>800.0</v>
      </c>
      <c r="J21" s="18">
        <v>800.0</v>
      </c>
      <c r="K21" s="18">
        <v>400.0</v>
      </c>
      <c r="L21" s="18">
        <v>500.0</v>
      </c>
      <c r="M21" s="18">
        <v>500.0</v>
      </c>
      <c r="N21" s="33">
        <f t="shared" si="6"/>
        <v>8600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2" t="s">
        <v>17</v>
      </c>
      <c r="B22" s="36">
        <f t="shared" ref="B22:M22" si="7">B5*4%</f>
        <v>27665.5764</v>
      </c>
      <c r="C22" s="36">
        <f t="shared" si="7"/>
        <v>20586.6812</v>
      </c>
      <c r="D22" s="36">
        <f t="shared" si="7"/>
        <v>22399.2756</v>
      </c>
      <c r="E22" s="36">
        <f t="shared" si="7"/>
        <v>27466.7964</v>
      </c>
      <c r="F22" s="36">
        <f t="shared" si="7"/>
        <v>29247.0004</v>
      </c>
      <c r="G22" s="36">
        <f t="shared" si="7"/>
        <v>35781.7488</v>
      </c>
      <c r="H22" s="36">
        <f t="shared" si="7"/>
        <v>29548.4904</v>
      </c>
      <c r="I22" s="36">
        <f t="shared" si="7"/>
        <v>34536.4756</v>
      </c>
      <c r="J22" s="36">
        <f t="shared" si="7"/>
        <v>17138.5748</v>
      </c>
      <c r="K22" s="36">
        <f t="shared" si="7"/>
        <v>14742.28</v>
      </c>
      <c r="L22" s="36">
        <f t="shared" si="7"/>
        <v>8028.04</v>
      </c>
      <c r="M22" s="36">
        <f t="shared" si="7"/>
        <v>13666.56</v>
      </c>
      <c r="N22" s="33">
        <f t="shared" si="6"/>
        <v>280807.4996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2" t="s">
        <v>18</v>
      </c>
      <c r="B23" s="37">
        <v>1200.0</v>
      </c>
      <c r="C23" s="37">
        <v>1200.0</v>
      </c>
      <c r="D23" s="37">
        <v>1200.0</v>
      </c>
      <c r="E23" s="37">
        <v>1200.0</v>
      </c>
      <c r="F23" s="37">
        <v>1200.0</v>
      </c>
      <c r="G23" s="37">
        <v>1200.0</v>
      </c>
      <c r="H23" s="37">
        <v>1200.0</v>
      </c>
      <c r="I23" s="37">
        <v>1200.0</v>
      </c>
      <c r="J23" s="37">
        <v>1200.0</v>
      </c>
      <c r="K23" s="18">
        <v>500.0</v>
      </c>
      <c r="L23" s="18">
        <v>500.0</v>
      </c>
      <c r="M23" s="18">
        <v>500.0</v>
      </c>
      <c r="N23" s="33">
        <f t="shared" si="6"/>
        <v>12300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2" t="s">
        <v>19</v>
      </c>
      <c r="B24" s="37">
        <v>3000.0</v>
      </c>
      <c r="C24" s="37">
        <v>3000.0</v>
      </c>
      <c r="D24" s="37">
        <v>3000.0</v>
      </c>
      <c r="E24" s="37">
        <v>3000.0</v>
      </c>
      <c r="F24" s="37">
        <v>3000.0</v>
      </c>
      <c r="G24" s="37">
        <v>3000.0</v>
      </c>
      <c r="H24" s="37">
        <v>3000.0</v>
      </c>
      <c r="I24" s="37">
        <v>3000.0</v>
      </c>
      <c r="J24" s="37">
        <v>3000.0</v>
      </c>
      <c r="K24" s="37">
        <v>3000.0</v>
      </c>
      <c r="L24" s="37">
        <v>3000.0</v>
      </c>
      <c r="M24" s="37">
        <v>3000.0</v>
      </c>
      <c r="N24" s="33">
        <f t="shared" si="6"/>
        <v>36000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2" t="s">
        <v>20</v>
      </c>
      <c r="B25" s="11">
        <v>1200.0</v>
      </c>
      <c r="C25" s="11">
        <v>1200.0</v>
      </c>
      <c r="D25" s="11">
        <v>1200.0</v>
      </c>
      <c r="E25" s="11">
        <v>1200.0</v>
      </c>
      <c r="F25" s="11">
        <v>1200.0</v>
      </c>
      <c r="G25" s="11">
        <v>1200.0</v>
      </c>
      <c r="H25" s="11">
        <v>1200.0</v>
      </c>
      <c r="I25" s="11">
        <v>1200.0</v>
      </c>
      <c r="J25" s="11">
        <v>1200.0</v>
      </c>
      <c r="K25" s="11">
        <v>1200.0</v>
      </c>
      <c r="L25" s="11">
        <v>1200.0</v>
      </c>
      <c r="M25" s="11">
        <v>1200.0</v>
      </c>
      <c r="N25" s="33">
        <f t="shared" si="6"/>
        <v>14400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9" t="s">
        <v>21</v>
      </c>
      <c r="B26" s="18">
        <v>300.0</v>
      </c>
      <c r="C26" s="18">
        <v>300.0</v>
      </c>
      <c r="D26" s="18">
        <v>300.0</v>
      </c>
      <c r="E26" s="18">
        <v>300.0</v>
      </c>
      <c r="F26" s="18">
        <v>300.0</v>
      </c>
      <c r="G26" s="18">
        <v>300.0</v>
      </c>
      <c r="H26" s="18">
        <v>300.0</v>
      </c>
      <c r="I26" s="18">
        <v>300.0</v>
      </c>
      <c r="J26" s="18">
        <v>300.0</v>
      </c>
      <c r="K26" s="18">
        <v>300.0</v>
      </c>
      <c r="L26" s="18">
        <v>300.0</v>
      </c>
      <c r="M26" s="18">
        <v>300.0</v>
      </c>
      <c r="N26" s="33">
        <f t="shared" si="6"/>
        <v>3600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2" t="s">
        <v>22</v>
      </c>
      <c r="B27" s="18">
        <v>1200.0</v>
      </c>
      <c r="C27" s="18">
        <v>1200.0</v>
      </c>
      <c r="D27" s="18">
        <v>1200.0</v>
      </c>
      <c r="E27" s="18">
        <v>1200.0</v>
      </c>
      <c r="F27" s="18">
        <v>1200.0</v>
      </c>
      <c r="G27" s="18">
        <v>1200.0</v>
      </c>
      <c r="H27" s="18">
        <v>1200.0</v>
      </c>
      <c r="I27" s="18">
        <v>1200.0</v>
      </c>
      <c r="J27" s="18">
        <v>1200.0</v>
      </c>
      <c r="K27" s="18">
        <v>1200.0</v>
      </c>
      <c r="L27" s="18">
        <v>1200.0</v>
      </c>
      <c r="M27" s="18">
        <v>1200.0</v>
      </c>
      <c r="N27" s="33">
        <f t="shared" si="6"/>
        <v>14400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4" t="s">
        <v>23</v>
      </c>
      <c r="B28" s="18">
        <v>2500.0</v>
      </c>
      <c r="C28" s="18">
        <v>2500.0</v>
      </c>
      <c r="D28" s="18">
        <v>2500.0</v>
      </c>
      <c r="E28" s="18">
        <v>2500.0</v>
      </c>
      <c r="F28" s="18">
        <v>2500.0</v>
      </c>
      <c r="G28" s="18">
        <v>2500.0</v>
      </c>
      <c r="H28" s="18">
        <v>2500.0</v>
      </c>
      <c r="I28" s="18">
        <v>2500.0</v>
      </c>
      <c r="J28" s="18">
        <v>2500.0</v>
      </c>
      <c r="K28" s="18">
        <v>2500.0</v>
      </c>
      <c r="L28" s="18">
        <v>2500.0</v>
      </c>
      <c r="M28" s="18">
        <v>2500.0</v>
      </c>
      <c r="N28" s="33">
        <f t="shared" si="6"/>
        <v>30000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0" t="s">
        <v>24</v>
      </c>
      <c r="B29" s="36">
        <v>2500.0</v>
      </c>
      <c r="C29" s="36">
        <v>2500.0</v>
      </c>
      <c r="D29" s="36">
        <v>2500.0</v>
      </c>
      <c r="E29" s="36">
        <v>2500.0</v>
      </c>
      <c r="F29" s="36">
        <v>2500.0</v>
      </c>
      <c r="G29" s="36">
        <v>15000.0</v>
      </c>
      <c r="H29" s="36">
        <v>12000.0</v>
      </c>
      <c r="I29" s="36">
        <v>10000.0</v>
      </c>
      <c r="J29" s="36">
        <v>9000.0</v>
      </c>
      <c r="K29" s="36">
        <v>2500.0</v>
      </c>
      <c r="L29" s="36">
        <v>2500.0</v>
      </c>
      <c r="M29" s="36">
        <v>2500.0</v>
      </c>
      <c r="N29" s="33">
        <f t="shared" si="6"/>
        <v>66000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1" t="s">
        <v>25</v>
      </c>
      <c r="B30" s="42">
        <f t="shared" ref="B30:M30" si="8">SUM(B17:B29)</f>
        <v>437778.5764</v>
      </c>
      <c r="C30" s="42">
        <f t="shared" si="8"/>
        <v>293937.6812</v>
      </c>
      <c r="D30" s="42">
        <f t="shared" si="8"/>
        <v>331489.2756</v>
      </c>
      <c r="E30" s="42">
        <f t="shared" si="8"/>
        <v>399330.7964</v>
      </c>
      <c r="F30" s="42">
        <f t="shared" si="8"/>
        <v>428207.0004</v>
      </c>
      <c r="G30" s="42">
        <f t="shared" si="8"/>
        <v>515375.7488</v>
      </c>
      <c r="H30" s="42">
        <f t="shared" si="8"/>
        <v>423423.4904</v>
      </c>
      <c r="I30" s="42">
        <f t="shared" si="8"/>
        <v>521763.4756</v>
      </c>
      <c r="J30" s="42">
        <f t="shared" si="8"/>
        <v>257129.5748</v>
      </c>
      <c r="K30" s="42">
        <f t="shared" si="8"/>
        <v>232781.28</v>
      </c>
      <c r="L30" s="42">
        <f t="shared" si="8"/>
        <v>142347.04</v>
      </c>
      <c r="M30" s="42">
        <f t="shared" si="8"/>
        <v>206021.56</v>
      </c>
      <c r="N30" s="42">
        <f t="shared" si="6"/>
        <v>4189585.5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5"/>
      <c r="C31" s="5"/>
      <c r="D31" s="5"/>
      <c r="E31" s="43"/>
      <c r="F31" s="43"/>
      <c r="G31" s="43"/>
      <c r="H31" s="43"/>
      <c r="I31" s="43"/>
      <c r="J31" s="5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26</v>
      </c>
      <c r="B32" s="7" t="s">
        <v>1</v>
      </c>
      <c r="C32" s="7" t="s">
        <v>34</v>
      </c>
      <c r="D32" s="7" t="s">
        <v>35</v>
      </c>
      <c r="E32" s="6" t="s">
        <v>36</v>
      </c>
      <c r="F32" s="6" t="s">
        <v>37</v>
      </c>
      <c r="G32" s="6" t="s">
        <v>38</v>
      </c>
      <c r="H32" s="6" t="s">
        <v>39</v>
      </c>
      <c r="I32" s="6" t="s">
        <v>40</v>
      </c>
      <c r="J32" s="6" t="s">
        <v>41</v>
      </c>
      <c r="K32" s="6" t="s">
        <v>42</v>
      </c>
      <c r="L32" s="6" t="s">
        <v>43</v>
      </c>
      <c r="M32" s="6" t="s">
        <v>44</v>
      </c>
      <c r="N32" s="8" t="s">
        <v>27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1" t="s">
        <v>28</v>
      </c>
      <c r="B33" s="44">
        <f t="shared" ref="B33:M33" si="9">MINUS(B13,B30)</f>
        <v>46526.81068</v>
      </c>
      <c r="C33" s="44">
        <f t="shared" si="9"/>
        <v>59893.55444</v>
      </c>
      <c r="D33" s="44">
        <f t="shared" si="9"/>
        <v>58828.30172</v>
      </c>
      <c r="E33" s="44">
        <f t="shared" si="9"/>
        <v>83027.03468</v>
      </c>
      <c r="F33" s="44">
        <f t="shared" si="9"/>
        <v>64775.48948</v>
      </c>
      <c r="G33" s="44">
        <f t="shared" si="9"/>
        <v>110813.5366</v>
      </c>
      <c r="H33" s="44">
        <f t="shared" si="9"/>
        <v>94540.63248</v>
      </c>
      <c r="I33" s="44">
        <f t="shared" si="9"/>
        <v>79034.56172</v>
      </c>
      <c r="J33" s="44">
        <f t="shared" si="9"/>
        <v>32841.05276</v>
      </c>
      <c r="K33" s="44">
        <f t="shared" si="9"/>
        <v>16694.72</v>
      </c>
      <c r="L33" s="44">
        <f t="shared" si="9"/>
        <v>-8575.04</v>
      </c>
      <c r="M33" s="44">
        <f t="shared" si="9"/>
        <v>31430.44</v>
      </c>
      <c r="N33" s="44">
        <f>SUM(B33:M33)</f>
        <v>669831.0945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29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14</v>
      </c>
      <c r="B37" s="46">
        <f>SUM(N19)</f>
        <v>2674810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30</v>
      </c>
      <c r="B38" s="46">
        <f>SUM(N18)</f>
        <v>1009468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31</v>
      </c>
      <c r="B39" s="46">
        <f>sum(N17)</f>
        <v>29400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32</v>
      </c>
      <c r="B40" s="46">
        <f>SUM(N20)</f>
        <v>9800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33</v>
      </c>
      <c r="B41" s="46">
        <f>sum(N21)</f>
        <v>8600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4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9"/>
      <c r="B50" s="5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3"/>
      <c r="B51" s="5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4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/>
      <c r="B3" s="2">
        <v>2024.0</v>
      </c>
      <c r="C3" s="2">
        <v>2024.0</v>
      </c>
      <c r="D3" s="2">
        <v>2024.0</v>
      </c>
      <c r="E3" s="2">
        <v>2024.0</v>
      </c>
      <c r="F3" s="2">
        <v>2024.0</v>
      </c>
      <c r="G3" s="2">
        <v>2024.0</v>
      </c>
      <c r="H3" s="2">
        <v>2024.0</v>
      </c>
      <c r="I3" s="2">
        <v>2024.0</v>
      </c>
      <c r="J3" s="2">
        <v>2024.0</v>
      </c>
      <c r="K3" s="2">
        <v>2024.0</v>
      </c>
      <c r="L3" s="2">
        <v>2024.0</v>
      </c>
      <c r="M3" s="2">
        <v>2024.0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0</v>
      </c>
      <c r="B4" s="7" t="s">
        <v>1</v>
      </c>
      <c r="C4" s="7" t="s">
        <v>34</v>
      </c>
      <c r="D4" s="7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  <c r="M4" s="6" t="s">
        <v>44</v>
      </c>
      <c r="N4" s="8" t="s">
        <v>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4</v>
      </c>
      <c r="B5" s="9"/>
      <c r="C5" s="25"/>
      <c r="D5" s="11"/>
      <c r="E5" s="25"/>
      <c r="F5" s="25"/>
      <c r="G5" s="52"/>
      <c r="H5" s="53"/>
      <c r="I5" s="54"/>
      <c r="J5" s="53">
        <v>109548.28</v>
      </c>
      <c r="K5" s="53">
        <v>531852.24</v>
      </c>
      <c r="L5" s="52">
        <v>614660.77</v>
      </c>
      <c r="M5" s="52">
        <v>679321.7</v>
      </c>
      <c r="N5" s="16">
        <f t="shared" ref="N5:N8" si="1">SUM(B5:M5)</f>
        <v>1935382.99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5</v>
      </c>
      <c r="B6" s="9"/>
      <c r="C6" s="25"/>
      <c r="D6" s="11"/>
      <c r="E6" s="25"/>
      <c r="F6" s="11"/>
      <c r="G6" s="25"/>
      <c r="H6" s="52"/>
      <c r="I6" s="52"/>
      <c r="J6" s="27">
        <v>338.28</v>
      </c>
      <c r="K6" s="27">
        <v>7060.04</v>
      </c>
      <c r="L6" s="52">
        <v>13442.61</v>
      </c>
      <c r="M6" s="52">
        <v>16099.22</v>
      </c>
      <c r="N6" s="16">
        <f t="shared" si="1"/>
        <v>36940.15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6</v>
      </c>
      <c r="B7" s="19"/>
      <c r="C7" s="19"/>
      <c r="D7" s="19"/>
      <c r="E7" s="19"/>
      <c r="F7" s="19"/>
      <c r="G7" s="19"/>
      <c r="H7" s="19"/>
      <c r="I7" s="19"/>
      <c r="J7" s="19">
        <f t="shared" ref="J7:M7" si="2">J5*1.2%</f>
        <v>1314.57936</v>
      </c>
      <c r="K7" s="19">
        <f t="shared" si="2"/>
        <v>6382.22688</v>
      </c>
      <c r="L7" s="19">
        <f t="shared" si="2"/>
        <v>7375.92924</v>
      </c>
      <c r="M7" s="19">
        <f t="shared" si="2"/>
        <v>8151.8604</v>
      </c>
      <c r="N7" s="16">
        <f t="shared" si="1"/>
        <v>23224.59588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1" t="s">
        <v>7</v>
      </c>
      <c r="B8" s="22">
        <f t="shared" ref="B8:M8" si="3">B5-B6-B7</f>
        <v>0</v>
      </c>
      <c r="C8" s="22">
        <f t="shared" si="3"/>
        <v>0</v>
      </c>
      <c r="D8" s="22">
        <f t="shared" si="3"/>
        <v>0</v>
      </c>
      <c r="E8" s="22">
        <f t="shared" si="3"/>
        <v>0</v>
      </c>
      <c r="F8" s="22">
        <f t="shared" si="3"/>
        <v>0</v>
      </c>
      <c r="G8" s="22">
        <f t="shared" si="3"/>
        <v>0</v>
      </c>
      <c r="H8" s="22">
        <f t="shared" si="3"/>
        <v>0</v>
      </c>
      <c r="I8" s="22">
        <f t="shared" si="3"/>
        <v>0</v>
      </c>
      <c r="J8" s="22">
        <f t="shared" si="3"/>
        <v>107895.4206</v>
      </c>
      <c r="K8" s="22">
        <f t="shared" si="3"/>
        <v>518409.9731</v>
      </c>
      <c r="L8" s="22">
        <f t="shared" si="3"/>
        <v>593842.2308</v>
      </c>
      <c r="M8" s="22">
        <f t="shared" si="3"/>
        <v>655070.6196</v>
      </c>
      <c r="N8" s="23">
        <f t="shared" si="1"/>
        <v>1875218.244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>
        <v>2024.0</v>
      </c>
      <c r="C10" s="2">
        <v>2024.0</v>
      </c>
      <c r="D10" s="2">
        <v>2024.0</v>
      </c>
      <c r="E10" s="2">
        <v>2024.0</v>
      </c>
      <c r="F10" s="2">
        <v>2024.0</v>
      </c>
      <c r="G10" s="2">
        <v>2024.0</v>
      </c>
      <c r="H10" s="2">
        <v>2024.0</v>
      </c>
      <c r="I10" s="2">
        <v>2024.0</v>
      </c>
      <c r="J10" s="2">
        <v>2024.0</v>
      </c>
      <c r="K10" s="2">
        <v>2024.0</v>
      </c>
      <c r="L10" s="2">
        <v>2024.0</v>
      </c>
      <c r="M10" s="2">
        <v>2024.0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 t="s">
        <v>8</v>
      </c>
      <c r="B11" s="7" t="s">
        <v>1</v>
      </c>
      <c r="C11" s="7" t="s">
        <v>34</v>
      </c>
      <c r="D11" s="7" t="s">
        <v>35</v>
      </c>
      <c r="E11" s="6" t="s">
        <v>36</v>
      </c>
      <c r="F11" s="6" t="s">
        <v>37</v>
      </c>
      <c r="G11" s="6" t="s">
        <v>38</v>
      </c>
      <c r="H11" s="6" t="s">
        <v>39</v>
      </c>
      <c r="I11" s="6" t="s">
        <v>40</v>
      </c>
      <c r="J11" s="6" t="s">
        <v>41</v>
      </c>
      <c r="K11" s="6" t="s">
        <v>42</v>
      </c>
      <c r="L11" s="6" t="s">
        <v>43</v>
      </c>
      <c r="M11" s="6" t="s">
        <v>44</v>
      </c>
      <c r="N11" s="8" t="s">
        <v>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 t="s">
        <v>9</v>
      </c>
      <c r="B12" s="25"/>
      <c r="C12" s="25"/>
      <c r="D12" s="25"/>
      <c r="E12" s="25"/>
      <c r="F12" s="25"/>
      <c r="G12" s="25"/>
      <c r="H12" s="15"/>
      <c r="I12" s="25"/>
      <c r="J12" s="25">
        <v>30790.0</v>
      </c>
      <c r="K12" s="27">
        <f>143232+608</f>
        <v>143840</v>
      </c>
      <c r="L12" s="11">
        <v>162827.0</v>
      </c>
      <c r="M12" s="28">
        <v>178382.0</v>
      </c>
      <c r="N12" s="29">
        <f t="shared" ref="N12:N13" si="5">SUM(B12:M12)</f>
        <v>515839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1" t="s">
        <v>10</v>
      </c>
      <c r="B13" s="30">
        <f t="shared" ref="B13:M13" si="4">B8-B12</f>
        <v>0</v>
      </c>
      <c r="C13" s="30">
        <f t="shared" si="4"/>
        <v>0</v>
      </c>
      <c r="D13" s="30">
        <f t="shared" si="4"/>
        <v>0</v>
      </c>
      <c r="E13" s="30">
        <f t="shared" si="4"/>
        <v>0</v>
      </c>
      <c r="F13" s="30">
        <f t="shared" si="4"/>
        <v>0</v>
      </c>
      <c r="G13" s="30">
        <f t="shared" si="4"/>
        <v>0</v>
      </c>
      <c r="H13" s="30">
        <f t="shared" si="4"/>
        <v>0</v>
      </c>
      <c r="I13" s="30">
        <f t="shared" si="4"/>
        <v>0</v>
      </c>
      <c r="J13" s="30">
        <f t="shared" si="4"/>
        <v>77105.42064</v>
      </c>
      <c r="K13" s="30">
        <f t="shared" si="4"/>
        <v>374569.9731</v>
      </c>
      <c r="L13" s="30">
        <f t="shared" si="4"/>
        <v>431015.2308</v>
      </c>
      <c r="M13" s="30">
        <f t="shared" si="4"/>
        <v>476688.6196</v>
      </c>
      <c r="N13" s="31">
        <f t="shared" si="5"/>
        <v>1359379.244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>
        <v>2024.0</v>
      </c>
      <c r="C15" s="2">
        <v>2024.0</v>
      </c>
      <c r="D15" s="2">
        <v>2024.0</v>
      </c>
      <c r="E15" s="2">
        <v>2024.0</v>
      </c>
      <c r="F15" s="2">
        <v>2024.0</v>
      </c>
      <c r="G15" s="2">
        <v>2024.0</v>
      </c>
      <c r="H15" s="2">
        <v>2024.0</v>
      </c>
      <c r="I15" s="2">
        <v>2024.0</v>
      </c>
      <c r="J15" s="2">
        <v>2024.0</v>
      </c>
      <c r="K15" s="2">
        <v>2024.0</v>
      </c>
      <c r="L15" s="2">
        <v>2024.0</v>
      </c>
      <c r="M15" s="2">
        <v>2024.0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11</v>
      </c>
      <c r="B16" s="7" t="s">
        <v>1</v>
      </c>
      <c r="C16" s="7" t="s">
        <v>34</v>
      </c>
      <c r="D16" s="7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  <c r="J16" s="6" t="s">
        <v>41</v>
      </c>
      <c r="K16" s="6" t="s">
        <v>42</v>
      </c>
      <c r="L16" s="6" t="s">
        <v>43</v>
      </c>
      <c r="M16" s="6" t="s">
        <v>44</v>
      </c>
      <c r="N16" s="8" t="s">
        <v>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2" t="s">
        <v>12</v>
      </c>
      <c r="B17" s="18"/>
      <c r="C17" s="18"/>
      <c r="D17" s="18"/>
      <c r="E17" s="18"/>
      <c r="F17" s="18"/>
      <c r="G17" s="18"/>
      <c r="H17" s="18"/>
      <c r="I17" s="18"/>
      <c r="J17" s="18">
        <v>2400.0</v>
      </c>
      <c r="K17" s="18">
        <v>2400.0</v>
      </c>
      <c r="L17" s="18">
        <v>2400.0</v>
      </c>
      <c r="M17" s="18">
        <v>2400.0</v>
      </c>
      <c r="N17" s="33">
        <f t="shared" ref="N17:N30" si="6">SUM(B17:M17)</f>
        <v>9600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4" t="s">
        <v>13</v>
      </c>
      <c r="B18" s="18"/>
      <c r="C18" s="18"/>
      <c r="D18" s="18"/>
      <c r="E18" s="18"/>
      <c r="F18" s="18"/>
      <c r="G18" s="18"/>
      <c r="H18" s="18"/>
      <c r="I18" s="18"/>
      <c r="J18" s="18">
        <v>831.0</v>
      </c>
      <c r="K18" s="27">
        <v>10311.0</v>
      </c>
      <c r="L18" s="11">
        <v>16024.0</v>
      </c>
      <c r="M18" s="11">
        <v>31639.0</v>
      </c>
      <c r="N18" s="33">
        <f t="shared" si="6"/>
        <v>58805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4" t="s">
        <v>14</v>
      </c>
      <c r="B19" s="18"/>
      <c r="C19" s="18"/>
      <c r="D19" s="18"/>
      <c r="E19" s="18"/>
      <c r="F19" s="18"/>
      <c r="G19" s="18"/>
      <c r="H19" s="18"/>
      <c r="I19" s="18"/>
      <c r="J19" s="18">
        <v>50378.0</v>
      </c>
      <c r="K19" s="27">
        <f>251920+2205</f>
        <v>254125</v>
      </c>
      <c r="L19" s="11">
        <f>301668+3249</f>
        <v>304917</v>
      </c>
      <c r="M19" s="11">
        <f>317016+3748</f>
        <v>320764</v>
      </c>
      <c r="N19" s="33">
        <f t="shared" si="6"/>
        <v>930184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4" t="s">
        <v>32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33">
        <f t="shared" si="6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4" t="s">
        <v>33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33">
        <f t="shared" si="6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2" t="s">
        <v>17</v>
      </c>
      <c r="B22" s="18"/>
      <c r="C22" s="18"/>
      <c r="D22" s="18"/>
      <c r="E22" s="18"/>
      <c r="F22" s="36"/>
      <c r="G22" s="36"/>
      <c r="H22" s="36"/>
      <c r="I22" s="36"/>
      <c r="J22" s="36">
        <f t="shared" ref="J22:M22" si="7">J5*4%</f>
        <v>4381.9312</v>
      </c>
      <c r="K22" s="36">
        <f t="shared" si="7"/>
        <v>21274.0896</v>
      </c>
      <c r="L22" s="36">
        <f t="shared" si="7"/>
        <v>24586.4308</v>
      </c>
      <c r="M22" s="36">
        <f t="shared" si="7"/>
        <v>27172.868</v>
      </c>
      <c r="N22" s="33">
        <f t="shared" si="6"/>
        <v>77415.3196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2" t="s">
        <v>18</v>
      </c>
      <c r="B23" s="18"/>
      <c r="C23" s="18"/>
      <c r="D23" s="18"/>
      <c r="E23" s="18"/>
      <c r="F23" s="18"/>
      <c r="G23" s="18"/>
      <c r="H23" s="18"/>
      <c r="I23" s="18"/>
      <c r="J23" s="18">
        <v>1000.0</v>
      </c>
      <c r="K23" s="18">
        <v>800.0</v>
      </c>
      <c r="L23" s="18">
        <v>1200.0</v>
      </c>
      <c r="M23" s="37">
        <v>1200.0</v>
      </c>
      <c r="N23" s="33">
        <f t="shared" si="6"/>
        <v>4200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2" t="s">
        <v>19</v>
      </c>
      <c r="B24" s="18"/>
      <c r="C24" s="18"/>
      <c r="D24" s="18"/>
      <c r="E24" s="18"/>
      <c r="F24" s="18"/>
      <c r="G24" s="18"/>
      <c r="H24" s="18"/>
      <c r="I24" s="18"/>
      <c r="J24" s="18">
        <v>400.0</v>
      </c>
      <c r="K24" s="18">
        <v>400.0</v>
      </c>
      <c r="L24" s="18">
        <v>2000.0</v>
      </c>
      <c r="M24" s="37">
        <v>2000.0</v>
      </c>
      <c r="N24" s="33">
        <f t="shared" si="6"/>
        <v>4800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2" t="s">
        <v>20</v>
      </c>
      <c r="B25" s="18"/>
      <c r="C25" s="18"/>
      <c r="D25" s="18"/>
      <c r="E25" s="18"/>
      <c r="F25" s="18"/>
      <c r="G25" s="18"/>
      <c r="H25" s="18"/>
      <c r="I25" s="18"/>
      <c r="J25" s="18">
        <v>300.0</v>
      </c>
      <c r="K25" s="18">
        <v>500.0</v>
      </c>
      <c r="L25" s="11">
        <v>1200.0</v>
      </c>
      <c r="M25" s="11">
        <v>1200.0</v>
      </c>
      <c r="N25" s="33">
        <f t="shared" si="6"/>
        <v>3200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9" t="s">
        <v>21</v>
      </c>
      <c r="B26" s="18"/>
      <c r="C26" s="18"/>
      <c r="D26" s="18"/>
      <c r="E26" s="18"/>
      <c r="F26" s="18"/>
      <c r="G26" s="18"/>
      <c r="H26" s="18"/>
      <c r="I26" s="18"/>
      <c r="J26" s="18">
        <v>150.0</v>
      </c>
      <c r="K26" s="18">
        <v>300.0</v>
      </c>
      <c r="L26" s="18">
        <v>300.0</v>
      </c>
      <c r="M26" s="18">
        <v>300.0</v>
      </c>
      <c r="N26" s="33">
        <f t="shared" si="6"/>
        <v>1050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2" t="s">
        <v>22</v>
      </c>
      <c r="B27" s="18"/>
      <c r="C27" s="18"/>
      <c r="D27" s="18"/>
      <c r="E27" s="18"/>
      <c r="F27" s="18"/>
      <c r="G27" s="18"/>
      <c r="H27" s="18"/>
      <c r="I27" s="18"/>
      <c r="J27" s="18">
        <v>300.0</v>
      </c>
      <c r="K27" s="18">
        <v>700.0</v>
      </c>
      <c r="L27" s="18">
        <v>1000.0</v>
      </c>
      <c r="M27" s="18">
        <v>1000.0</v>
      </c>
      <c r="N27" s="33">
        <f t="shared" si="6"/>
        <v>3000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4" t="s">
        <v>23</v>
      </c>
      <c r="B28" s="18"/>
      <c r="C28" s="18"/>
      <c r="D28" s="18"/>
      <c r="E28" s="18"/>
      <c r="F28" s="18"/>
      <c r="G28" s="18"/>
      <c r="H28" s="18"/>
      <c r="I28" s="18"/>
      <c r="J28" s="18">
        <v>800.0</v>
      </c>
      <c r="K28" s="18">
        <v>1500.0</v>
      </c>
      <c r="L28" s="18">
        <v>2500.0</v>
      </c>
      <c r="M28" s="18">
        <v>2500.0</v>
      </c>
      <c r="N28" s="33">
        <f t="shared" si="6"/>
        <v>7300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0" t="s">
        <v>24</v>
      </c>
      <c r="B29" s="36"/>
      <c r="C29" s="36"/>
      <c r="D29" s="36"/>
      <c r="E29" s="36"/>
      <c r="F29" s="36"/>
      <c r="G29" s="36"/>
      <c r="H29" s="36"/>
      <c r="I29" s="36"/>
      <c r="J29" s="36">
        <v>0.0</v>
      </c>
      <c r="K29" s="36">
        <v>2500.0</v>
      </c>
      <c r="L29" s="36">
        <v>2500.0</v>
      </c>
      <c r="M29" s="36">
        <v>2500.0</v>
      </c>
      <c r="N29" s="33">
        <f t="shared" si="6"/>
        <v>7500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1" t="s">
        <v>25</v>
      </c>
      <c r="B30" s="42">
        <f t="shared" ref="B30:M30" si="8">SUM(B17:B29)</f>
        <v>0</v>
      </c>
      <c r="C30" s="42">
        <f t="shared" si="8"/>
        <v>0</v>
      </c>
      <c r="D30" s="42">
        <f t="shared" si="8"/>
        <v>0</v>
      </c>
      <c r="E30" s="42">
        <f t="shared" si="8"/>
        <v>0</v>
      </c>
      <c r="F30" s="42">
        <f t="shared" si="8"/>
        <v>0</v>
      </c>
      <c r="G30" s="42">
        <f t="shared" si="8"/>
        <v>0</v>
      </c>
      <c r="H30" s="42">
        <f t="shared" si="8"/>
        <v>0</v>
      </c>
      <c r="I30" s="42">
        <f t="shared" si="8"/>
        <v>0</v>
      </c>
      <c r="J30" s="42">
        <f t="shared" si="8"/>
        <v>60940.9312</v>
      </c>
      <c r="K30" s="42">
        <f t="shared" si="8"/>
        <v>294810.0896</v>
      </c>
      <c r="L30" s="42">
        <f t="shared" si="8"/>
        <v>358627.4308</v>
      </c>
      <c r="M30" s="42">
        <f t="shared" si="8"/>
        <v>392675.868</v>
      </c>
      <c r="N30" s="42">
        <f t="shared" si="6"/>
        <v>1107054.32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5"/>
      <c r="C31" s="5"/>
      <c r="D31" s="5"/>
      <c r="E31" s="43"/>
      <c r="F31" s="43"/>
      <c r="G31" s="43"/>
      <c r="H31" s="43"/>
      <c r="I31" s="43"/>
      <c r="J31" s="5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26</v>
      </c>
      <c r="B32" s="7" t="s">
        <v>1</v>
      </c>
      <c r="C32" s="7" t="s">
        <v>34</v>
      </c>
      <c r="D32" s="7" t="s">
        <v>35</v>
      </c>
      <c r="E32" s="6" t="s">
        <v>36</v>
      </c>
      <c r="F32" s="6" t="s">
        <v>37</v>
      </c>
      <c r="G32" s="6" t="s">
        <v>38</v>
      </c>
      <c r="H32" s="6" t="s">
        <v>39</v>
      </c>
      <c r="I32" s="6" t="s">
        <v>40</v>
      </c>
      <c r="J32" s="6" t="s">
        <v>41</v>
      </c>
      <c r="K32" s="6" t="s">
        <v>42</v>
      </c>
      <c r="L32" s="6" t="s">
        <v>43</v>
      </c>
      <c r="M32" s="6" t="s">
        <v>44</v>
      </c>
      <c r="N32" s="8" t="s">
        <v>27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1" t="s">
        <v>28</v>
      </c>
      <c r="B33" s="44">
        <f t="shared" ref="B33:M33" si="9">MINUS(B13,B30)</f>
        <v>0</v>
      </c>
      <c r="C33" s="44">
        <f t="shared" si="9"/>
        <v>0</v>
      </c>
      <c r="D33" s="44">
        <f t="shared" si="9"/>
        <v>0</v>
      </c>
      <c r="E33" s="44">
        <f t="shared" si="9"/>
        <v>0</v>
      </c>
      <c r="F33" s="44">
        <f t="shared" si="9"/>
        <v>0</v>
      </c>
      <c r="G33" s="44">
        <f t="shared" si="9"/>
        <v>0</v>
      </c>
      <c r="H33" s="44">
        <f t="shared" si="9"/>
        <v>0</v>
      </c>
      <c r="I33" s="44">
        <f t="shared" si="9"/>
        <v>0</v>
      </c>
      <c r="J33" s="44">
        <f t="shared" si="9"/>
        <v>16164.48944</v>
      </c>
      <c r="K33" s="44">
        <f t="shared" si="9"/>
        <v>79759.88352</v>
      </c>
      <c r="L33" s="44">
        <f t="shared" si="9"/>
        <v>72387.79996</v>
      </c>
      <c r="M33" s="44">
        <f t="shared" si="9"/>
        <v>84012.7516</v>
      </c>
      <c r="N33" s="44">
        <f>SUM(B33:M33)</f>
        <v>252324.9245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29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14</v>
      </c>
      <c r="B37" s="46">
        <f>SUM(N19)</f>
        <v>930184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30</v>
      </c>
      <c r="B38" s="46">
        <f>SUM(N18)</f>
        <v>58805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31</v>
      </c>
      <c r="B39" s="46">
        <f>sum(N17)</f>
        <v>9600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32</v>
      </c>
      <c r="B40" s="46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33</v>
      </c>
      <c r="B41" s="46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4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9"/>
      <c r="B50" s="5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3"/>
      <c r="B51" s="5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/>
      <c r="B3" s="2">
        <v>2023.0</v>
      </c>
      <c r="C3" s="2">
        <v>2023.0</v>
      </c>
      <c r="D3" s="2">
        <v>2023.0</v>
      </c>
      <c r="E3" s="2">
        <v>2023.0</v>
      </c>
      <c r="F3" s="2">
        <v>2023.0</v>
      </c>
      <c r="G3" s="2">
        <v>2023.0</v>
      </c>
      <c r="H3" s="2">
        <v>2023.0</v>
      </c>
      <c r="I3" s="2">
        <v>2023.0</v>
      </c>
      <c r="J3" s="2">
        <v>2023.0</v>
      </c>
      <c r="K3" s="2">
        <v>2023.0</v>
      </c>
      <c r="L3" s="2">
        <v>2023.0</v>
      </c>
      <c r="M3" s="2">
        <v>2023.0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0</v>
      </c>
      <c r="B4" s="7" t="s">
        <v>1</v>
      </c>
      <c r="C4" s="7" t="s">
        <v>34</v>
      </c>
      <c r="D4" s="7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  <c r="M4" s="6" t="s">
        <v>44</v>
      </c>
      <c r="N4" s="8" t="s">
        <v>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4</v>
      </c>
      <c r="B5" s="9"/>
      <c r="C5" s="25"/>
      <c r="D5" s="11"/>
      <c r="E5" s="25"/>
      <c r="F5" s="25"/>
      <c r="G5" s="52"/>
      <c r="H5" s="53"/>
      <c r="I5" s="54"/>
      <c r="J5" s="55"/>
      <c r="K5" s="53"/>
      <c r="L5" s="52"/>
      <c r="M5" s="52"/>
      <c r="N5" s="16">
        <f t="shared" ref="N5:N8" si="1">SUM(B5:M5)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5</v>
      </c>
      <c r="B6" s="9"/>
      <c r="C6" s="25"/>
      <c r="D6" s="11"/>
      <c r="E6" s="25"/>
      <c r="F6" s="11"/>
      <c r="G6" s="25"/>
      <c r="H6" s="52"/>
      <c r="I6" s="52"/>
      <c r="J6" s="56"/>
      <c r="K6" s="27"/>
      <c r="L6" s="52"/>
      <c r="M6" s="52"/>
      <c r="N6" s="16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6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1" t="s">
        <v>7</v>
      </c>
      <c r="B8" s="22">
        <f t="shared" ref="B8:M8" si="2">B5-B6-B7</f>
        <v>0</v>
      </c>
      <c r="C8" s="22">
        <f t="shared" si="2"/>
        <v>0</v>
      </c>
      <c r="D8" s="22">
        <f t="shared" si="2"/>
        <v>0</v>
      </c>
      <c r="E8" s="22">
        <f t="shared" si="2"/>
        <v>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>
        <v>2023.0</v>
      </c>
      <c r="C10" s="2">
        <v>2023.0</v>
      </c>
      <c r="D10" s="2">
        <v>2023.0</v>
      </c>
      <c r="E10" s="2">
        <v>2023.0</v>
      </c>
      <c r="F10" s="2">
        <v>2023.0</v>
      </c>
      <c r="G10" s="2">
        <v>2023.0</v>
      </c>
      <c r="H10" s="2">
        <v>2023.0</v>
      </c>
      <c r="I10" s="2">
        <v>2023.0</v>
      </c>
      <c r="J10" s="2">
        <v>2023.0</v>
      </c>
      <c r="K10" s="2">
        <v>2023.0</v>
      </c>
      <c r="L10" s="2">
        <v>2023.0</v>
      </c>
      <c r="M10" s="2">
        <v>2023.0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 t="s">
        <v>8</v>
      </c>
      <c r="B11" s="7" t="s">
        <v>1</v>
      </c>
      <c r="C11" s="7" t="s">
        <v>34</v>
      </c>
      <c r="D11" s="7" t="s">
        <v>35</v>
      </c>
      <c r="E11" s="6" t="s">
        <v>36</v>
      </c>
      <c r="F11" s="6" t="s">
        <v>37</v>
      </c>
      <c r="G11" s="6" t="s">
        <v>38</v>
      </c>
      <c r="H11" s="6" t="s">
        <v>39</v>
      </c>
      <c r="I11" s="6" t="s">
        <v>40</v>
      </c>
      <c r="J11" s="6" t="s">
        <v>41</v>
      </c>
      <c r="K11" s="6" t="s">
        <v>42</v>
      </c>
      <c r="L11" s="6" t="s">
        <v>43</v>
      </c>
      <c r="M11" s="6" t="s">
        <v>44</v>
      </c>
      <c r="N11" s="8" t="s">
        <v>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 t="s">
        <v>9</v>
      </c>
      <c r="B12" s="25"/>
      <c r="C12" s="25"/>
      <c r="D12" s="25"/>
      <c r="E12" s="25"/>
      <c r="F12" s="25"/>
      <c r="G12" s="25"/>
      <c r="H12" s="15"/>
      <c r="I12" s="25"/>
      <c r="J12" s="25"/>
      <c r="K12" s="27"/>
      <c r="L12" s="11"/>
      <c r="M12" s="28"/>
      <c r="N12" s="29">
        <f t="shared" ref="N12:N13" si="4">SUM(B12:M12)</f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1" t="s">
        <v>10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>
        <v>2023.0</v>
      </c>
      <c r="C15" s="2">
        <v>2023.0</v>
      </c>
      <c r="D15" s="2">
        <v>2023.0</v>
      </c>
      <c r="E15" s="2">
        <v>2023.0</v>
      </c>
      <c r="F15" s="2">
        <v>2023.0</v>
      </c>
      <c r="G15" s="2">
        <v>2023.0</v>
      </c>
      <c r="H15" s="2">
        <v>2023.0</v>
      </c>
      <c r="I15" s="2">
        <v>2023.0</v>
      </c>
      <c r="J15" s="2">
        <v>2023.0</v>
      </c>
      <c r="K15" s="2">
        <v>2023.0</v>
      </c>
      <c r="L15" s="2">
        <v>2023.0</v>
      </c>
      <c r="M15" s="2">
        <v>2023.0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11</v>
      </c>
      <c r="B16" s="7" t="s">
        <v>1</v>
      </c>
      <c r="C16" s="7" t="s">
        <v>34</v>
      </c>
      <c r="D16" s="7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  <c r="J16" s="6" t="s">
        <v>41</v>
      </c>
      <c r="K16" s="6" t="s">
        <v>42</v>
      </c>
      <c r="L16" s="6" t="s">
        <v>43</v>
      </c>
      <c r="M16" s="6" t="s">
        <v>44</v>
      </c>
      <c r="N16" s="8" t="s">
        <v>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2" t="s">
        <v>45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33">
        <f t="shared" ref="N17:N30" si="5">SUM(B17:M17)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4" t="s">
        <v>13</v>
      </c>
      <c r="B18" s="18"/>
      <c r="C18" s="18"/>
      <c r="D18" s="18"/>
      <c r="E18" s="18"/>
      <c r="F18" s="18"/>
      <c r="G18" s="18"/>
      <c r="H18" s="18"/>
      <c r="I18" s="18"/>
      <c r="J18" s="18"/>
      <c r="K18" s="27"/>
      <c r="L18" s="11"/>
      <c r="M18" s="11"/>
      <c r="N18" s="33">
        <f t="shared" si="5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4" t="s">
        <v>14</v>
      </c>
      <c r="B19" s="18"/>
      <c r="C19" s="18"/>
      <c r="D19" s="18"/>
      <c r="E19" s="18"/>
      <c r="F19" s="18"/>
      <c r="G19" s="18"/>
      <c r="H19" s="18"/>
      <c r="I19" s="18"/>
      <c r="J19" s="18"/>
      <c r="K19" s="27"/>
      <c r="L19" s="11"/>
      <c r="M19" s="11"/>
      <c r="N19" s="33">
        <f t="shared" si="5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4" t="s">
        <v>32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33">
        <f t="shared" si="5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4" t="s">
        <v>33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33">
        <f t="shared" si="5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2" t="s">
        <v>17</v>
      </c>
      <c r="B22" s="18"/>
      <c r="C22" s="18"/>
      <c r="D22" s="18"/>
      <c r="E22" s="18"/>
      <c r="F22" s="36"/>
      <c r="G22" s="36"/>
      <c r="H22" s="36"/>
      <c r="I22" s="36"/>
      <c r="J22" s="36"/>
      <c r="K22" s="36"/>
      <c r="L22" s="36"/>
      <c r="M22" s="36"/>
      <c r="N22" s="33">
        <f t="shared" si="5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2" t="s">
        <v>18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37"/>
      <c r="N23" s="33">
        <f t="shared" si="5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2" t="s">
        <v>19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37"/>
      <c r="N24" s="33">
        <f t="shared" si="5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2" t="s">
        <v>46</v>
      </c>
      <c r="B25" s="18"/>
      <c r="C25" s="18"/>
      <c r="D25" s="18"/>
      <c r="E25" s="18"/>
      <c r="F25" s="18"/>
      <c r="G25" s="18"/>
      <c r="H25" s="18"/>
      <c r="I25" s="18"/>
      <c r="J25" s="18"/>
      <c r="K25" s="27"/>
      <c r="L25" s="11"/>
      <c r="M25" s="11"/>
      <c r="N25" s="33">
        <f t="shared" si="5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9" t="s">
        <v>47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33">
        <f t="shared" si="5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2" t="s">
        <v>48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33">
        <f t="shared" si="5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4" t="s">
        <v>23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33">
        <f t="shared" si="5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0" t="s">
        <v>49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3">
        <f t="shared" si="5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1" t="s">
        <v>25</v>
      </c>
      <c r="B30" s="42">
        <f t="shared" ref="B30:M30" si="6">SUM(B17:B29)</f>
        <v>0</v>
      </c>
      <c r="C30" s="42">
        <f t="shared" si="6"/>
        <v>0</v>
      </c>
      <c r="D30" s="42">
        <f t="shared" si="6"/>
        <v>0</v>
      </c>
      <c r="E30" s="42">
        <f t="shared" si="6"/>
        <v>0</v>
      </c>
      <c r="F30" s="42">
        <f t="shared" si="6"/>
        <v>0</v>
      </c>
      <c r="G30" s="42">
        <f t="shared" si="6"/>
        <v>0</v>
      </c>
      <c r="H30" s="42">
        <f t="shared" si="6"/>
        <v>0</v>
      </c>
      <c r="I30" s="42">
        <f t="shared" si="6"/>
        <v>0</v>
      </c>
      <c r="J30" s="42">
        <f t="shared" si="6"/>
        <v>0</v>
      </c>
      <c r="K30" s="42">
        <f t="shared" si="6"/>
        <v>0</v>
      </c>
      <c r="L30" s="42">
        <f t="shared" si="6"/>
        <v>0</v>
      </c>
      <c r="M30" s="42">
        <f t="shared" si="6"/>
        <v>0</v>
      </c>
      <c r="N30" s="42">
        <f t="shared" si="5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5"/>
      <c r="C31" s="5"/>
      <c r="D31" s="5"/>
      <c r="E31" s="43"/>
      <c r="F31" s="43"/>
      <c r="G31" s="43"/>
      <c r="H31" s="43"/>
      <c r="I31" s="43"/>
      <c r="J31" s="5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26</v>
      </c>
      <c r="B32" s="7" t="s">
        <v>1</v>
      </c>
      <c r="C32" s="7" t="s">
        <v>34</v>
      </c>
      <c r="D32" s="7" t="s">
        <v>35</v>
      </c>
      <c r="E32" s="6" t="s">
        <v>36</v>
      </c>
      <c r="F32" s="6" t="s">
        <v>37</v>
      </c>
      <c r="G32" s="6" t="s">
        <v>38</v>
      </c>
      <c r="H32" s="6" t="s">
        <v>39</v>
      </c>
      <c r="I32" s="6" t="s">
        <v>40</v>
      </c>
      <c r="J32" s="6" t="s">
        <v>41</v>
      </c>
      <c r="K32" s="6" t="s">
        <v>42</v>
      </c>
      <c r="L32" s="6" t="s">
        <v>43</v>
      </c>
      <c r="M32" s="6" t="s">
        <v>44</v>
      </c>
      <c r="N32" s="8" t="s">
        <v>27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1" t="s">
        <v>28</v>
      </c>
      <c r="B33" s="44">
        <f t="shared" ref="B33:M33" si="7">MINUS(B13,B30)</f>
        <v>0</v>
      </c>
      <c r="C33" s="44">
        <f t="shared" si="7"/>
        <v>0</v>
      </c>
      <c r="D33" s="44">
        <f t="shared" si="7"/>
        <v>0</v>
      </c>
      <c r="E33" s="44">
        <f t="shared" si="7"/>
        <v>0</v>
      </c>
      <c r="F33" s="44">
        <f t="shared" si="7"/>
        <v>0</v>
      </c>
      <c r="G33" s="44">
        <f t="shared" si="7"/>
        <v>0</v>
      </c>
      <c r="H33" s="44">
        <f t="shared" si="7"/>
        <v>0</v>
      </c>
      <c r="I33" s="44">
        <f t="shared" si="7"/>
        <v>0</v>
      </c>
      <c r="J33" s="44">
        <f t="shared" si="7"/>
        <v>0</v>
      </c>
      <c r="K33" s="44">
        <f t="shared" si="7"/>
        <v>0</v>
      </c>
      <c r="L33" s="44">
        <f t="shared" si="7"/>
        <v>0</v>
      </c>
      <c r="M33" s="44">
        <f t="shared" si="7"/>
        <v>0</v>
      </c>
      <c r="N33" s="44">
        <f>SUM(B33:M33)</f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29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14</v>
      </c>
      <c r="B37" s="46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30</v>
      </c>
      <c r="B38" s="46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31</v>
      </c>
      <c r="B39" s="46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32</v>
      </c>
      <c r="B40" s="46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33</v>
      </c>
      <c r="B41" s="46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4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9"/>
      <c r="B50" s="5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3"/>
      <c r="B51" s="5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