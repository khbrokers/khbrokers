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</sheets>
  <definedNames>
    <definedName hidden="1" localSheetId="2" name="_xlnm._FilterDatabase">'2024'!$L$21:$L$30</definedName>
    <definedName hidden="1" localSheetId="3" name="_xlnm._FilterDatabase">'2023'!$L$21:$L$30</definedName>
  </definedNames>
  <calcPr/>
</workbook>
</file>

<file path=xl/sharedStrings.xml><?xml version="1.0" encoding="utf-8"?>
<sst xmlns="http://schemas.openxmlformats.org/spreadsheetml/2006/main" count="322" uniqueCount="46">
  <si>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</si>
  <si>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</si>
  <si>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</si>
  <si>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</si>
  <si>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</si>
  <si>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</si>
  <si>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</si>
  <si>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</si>
  <si>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</si>
  <si>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</si>
  <si>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</si>
  <si>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</si>
  <si>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</si>
  <si>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</si>
  <si>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</si>
  <si>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</si>
  <si>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</si>
  <si>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</si>
  <si>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</si>
  <si>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</si>
  <si>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 xml:space="preserve">Gross Profit </t>
  </si>
  <si>
    <t>Expenses</t>
  </si>
  <si>
    <t>Snapchat</t>
  </si>
  <si>
    <t>Processing Fees</t>
  </si>
  <si>
    <t>Content Costs</t>
  </si>
  <si>
    <t xml:space="preserve">Shopify Bill </t>
  </si>
  <si>
    <t>(Klaviyo, TripleWhale)</t>
  </si>
  <si>
    <t xml:space="preserve">3rd Party Softwares </t>
  </si>
  <si>
    <t>Team Cost</t>
  </si>
  <si>
    <t>Sales Tax</t>
  </si>
  <si>
    <t>Total Expenses</t>
  </si>
  <si>
    <t>Profit</t>
  </si>
  <si>
    <t>Total Net Profit</t>
  </si>
  <si>
    <t>Net Profit</t>
  </si>
  <si>
    <t>Total Spent Per Traffic Source</t>
  </si>
  <si>
    <t>Facebook</t>
  </si>
  <si>
    <t>Google Adwords</t>
  </si>
  <si>
    <t>Tiktok</t>
  </si>
  <si>
    <t>Pinterest</t>
  </si>
  <si>
    <t>Chargebacks (Refunds included here)</t>
  </si>
  <si>
    <t>Processing Fees (3.489 %)</t>
  </si>
  <si>
    <t>TikTok</t>
  </si>
  <si>
    <t>Google</t>
  </si>
  <si>
    <t>Virtual Assistant(s)</t>
  </si>
  <si>
    <t>Email Agency</t>
  </si>
  <si>
    <t>*ADD MORE ROWS IF NEEDED*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</si>
</sst>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&quot;$&quot;#,##0.00"/>
  </numFmts>
  <fonts count="12">
    <font>
      <sz val="10.0"/>
      <color rgb="FF000000"/>
      <name val="Calibri"/>
      <scheme val="minor"/>
    </font>
    <font>
      <b/>
      <sz val="12.0"/>
      <color rgb="FFFF9900"/>
      <name val="Montserrat"/>
    </font>
    <font>
      <color theme="1"/>
      <name val="Montserrat"/>
    </font>
    <font>
      <i/>
      <u/>
      <color theme="1"/>
      <name val="Montserrat"/>
    </font>
    <font>
      <b/>
      <color rgb="FFFFFFFF"/>
      <name val="Montserrat"/>
    </font>
    <font>
      <sz val="10.0"/>
      <color theme="1"/>
      <name val="Montserrat"/>
    </font>
    <font>
      <sz val="10.0"/>
      <color rgb="FF000000"/>
      <name val="Montserrat"/>
    </font>
    <font>
      <sz val="10.0"/>
      <color rgb="FF303030"/>
      <name val="Montserrat"/>
    </font>
    <font>
      <b/>
      <color theme="1"/>
      <name val="Montserrat"/>
    </font>
    <font>
      <b/>
      <sz val="10.0"/>
      <color theme="1"/>
      <name val="Montserrat"/>
    </font>
    <font>
      <color rgb="FF000000"/>
      <name val="Montserrat"/>
    </font>
    <font>
      <sz val="9.0"/>
      <color rgb="FF303030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680D6A"/>
        <bgColor rgb="FF680D6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2" fontId="4" numFmtId="0" xfId="0" applyAlignment="1" applyFont="1">
      <alignment readingOrder="0"/>
    </xf>
    <xf borderId="0" fillId="2" fontId="4" numFmtId="0" xfId="0" applyAlignment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6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0" fontId="7" numFmtId="164" xfId="0" applyAlignment="1" applyFont="1" applyNumberFormat="1">
      <alignment horizontal="right" readingOrder="0" shrinkToFit="0" wrapText="0"/>
    </xf>
    <xf borderId="0" fillId="0" fontId="7" numFmtId="164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right" readingOrder="0"/>
    </xf>
    <xf borderId="0" fillId="3" fontId="5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7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shrinkToFit="0" wrapText="0"/>
    </xf>
    <xf borderId="0" fillId="3" fontId="8" numFmtId="0" xfId="0" applyAlignment="1" applyFont="1">
      <alignment vertical="bottom"/>
    </xf>
    <xf borderId="0" fillId="4" fontId="8" numFmtId="164" xfId="0" applyAlignment="1" applyFill="1" applyFont="1" applyNumberFormat="1">
      <alignment readingOrder="0" shrinkToFit="0" wrapText="0"/>
    </xf>
    <xf borderId="0" fillId="4" fontId="8" numFmtId="164" xfId="0" applyAlignment="1" applyFont="1" applyNumberFormat="1">
      <alignment readingOrder="0" vertical="bottom"/>
    </xf>
    <xf borderId="0" fillId="5" fontId="6" numFmtId="164" xfId="0" applyAlignment="1" applyFill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readingOrder="0"/>
    </xf>
    <xf borderId="0" fillId="5" fontId="5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 vertical="bottom"/>
    </xf>
    <xf borderId="0" fillId="3" fontId="5" numFmtId="164" xfId="0" applyAlignment="1" applyFont="1" applyNumberFormat="1">
      <alignment horizontal="right" readingOrder="0" vertical="bottom"/>
    </xf>
    <xf borderId="0" fillId="3" fontId="9" numFmtId="164" xfId="0" applyAlignment="1" applyFont="1" applyNumberFormat="1">
      <alignment horizontal="right" vertical="bottom"/>
    </xf>
    <xf borderId="0" fillId="3" fontId="9" numFmtId="164" xfId="0" applyAlignment="1" applyFont="1" applyNumberFormat="1">
      <alignment readingOrder="0" vertical="bottom"/>
    </xf>
    <xf borderId="0" fillId="0" fontId="5" numFmtId="0" xfId="0" applyFont="1"/>
    <xf borderId="0" fillId="3" fontId="5" numFmtId="165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readingOrder="0" vertical="bottom"/>
    </xf>
    <xf borderId="0" fillId="5" fontId="7" numFmtId="164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3" fontId="9" numFmtId="165" xfId="0" applyAlignment="1" applyFont="1" applyNumberFormat="1">
      <alignment horizontal="right" vertical="bottom"/>
    </xf>
    <xf borderId="0" fillId="3" fontId="9" numFmtId="165" xfId="0" applyAlignment="1" applyFont="1" applyNumberFormat="1">
      <alignment horizontal="right" readingOrder="0" vertical="bottom"/>
    </xf>
    <xf borderId="0" fillId="5" fontId="2" numFmtId="0" xfId="0" applyAlignment="1" applyFont="1">
      <alignment vertical="bottom"/>
    </xf>
    <xf borderId="0" fillId="2" fontId="4" numFmtId="0" xfId="0" applyAlignment="1" applyFont="1">
      <alignment horizontal="right" readingOrder="0" vertical="bottom"/>
    </xf>
    <xf borderId="0" fillId="3" fontId="8" numFmtId="165" xfId="0" applyAlignment="1" applyFont="1" applyNumberFormat="1">
      <alignment horizontal="right" vertical="bottom"/>
    </xf>
    <xf borderId="0" fillId="3" fontId="8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/>
    </xf>
    <xf borderId="0" fillId="2" fontId="4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5" fontId="10" numFmtId="0" xfId="0" applyAlignment="1" applyFont="1">
      <alignment vertical="bottom"/>
    </xf>
    <xf borderId="0" fillId="5" fontId="10" numFmtId="165" xfId="0" applyAlignment="1" applyFont="1" applyNumberFormat="1">
      <alignment horizontal="right" vertical="bottom"/>
    </xf>
    <xf borderId="0" fillId="5" fontId="2" numFmtId="4" xfId="0" applyAlignment="1" applyFont="1" applyNumberFormat="1">
      <alignment horizontal="right" vertical="bottom"/>
    </xf>
    <xf borderId="0" fillId="0" fontId="11" numFmtId="164" xfId="0" applyAlignment="1" applyFont="1" applyNumberFormat="1">
      <alignment readingOrder="0" shrinkToFit="0" wrapText="0"/>
    </xf>
    <xf borderId="0" fillId="6" fontId="7" numFmtId="164" xfId="0" applyAlignment="1" applyFill="1" applyFont="1" applyNumberFormat="1">
      <alignment horizontal="right" readingOrder="0" shrinkToFit="0" wrapText="0"/>
    </xf>
    <xf borderId="0" fillId="6" fontId="7" numFmtId="164" xfId="0" applyAlignment="1" applyFont="1" applyNumberFormat="1">
      <alignment horizontal="right" readingOrder="0"/>
    </xf>
    <xf borderId="0" fillId="5" fontId="7" numFmtId="164" xfId="0" applyAlignment="1" applyFont="1" applyNumberFormat="1">
      <alignment horizontal="right" readingOrder="0"/>
    </xf>
    <xf borderId="0" fillId="5" fontId="6" numFmtId="164" xfId="0" applyAlignment="1" applyFont="1" applyNumberFormat="1">
      <alignment horizontal="right" readingOrder="0"/>
    </xf>
    <xf borderId="0" fillId="5" fontId="7" numFmtId="164" xfId="0" applyAlignment="1" applyFont="1" applyNumberFormat="1">
      <alignment readingOrder="0" shrinkToFit="0" wrapText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'2026'!$A$32:$A$36</c:f>
            </c:strRef>
          </c:cat>
          <c:val>
            <c:numRef>
              <c:f>'2026'!$B$32:$B$36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'2025'!$A$32:$A$36</c:f>
            </c:strRef>
          </c:cat>
          <c:val>
            <c:numRef>
              <c:f>'2025'!$B$32:$B$36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'2024'!$A$37:$A$41</c:f>
            </c:strRef>
          </c:cat>
          <c:val>
            <c:numRef>
              <c:f>'2024'!$B$37:$B$41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'2023'!$A$37:$A$41</c:f>
            </c:strRef>
          </c:cat>
          <c:val>
            <c:numRef>
              <c:f>'2023'!$B$37:$B$41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30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16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30</xdr:row>
      <xdr:rowOff>47625</xdr:rowOff>
    </xdr:from>
    <xdr:ext cx="57721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16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2025.0</v>
      </c>
      <c r="C3" s="7">
        <v>2025.0</v>
      </c>
      <c r="D3" s="7">
        <v>2025.0</v>
      </c>
      <c r="E3" s="7">
        <v>2025.0</v>
      </c>
      <c r="F3" s="7">
        <v>2025.0</v>
      </c>
      <c r="G3" s="7">
        <v>2025.0</v>
      </c>
      <c r="H3" s="7">
        <v>2025.0</v>
      </c>
      <c r="I3" s="7">
        <v>2025.0</v>
      </c>
      <c r="J3" s="7">
        <v>2025.0</v>
      </c>
      <c r="K3" s="7">
        <v>2025.0</v>
      </c>
      <c r="L3" s="7">
        <v>2025.0</v>
      </c>
      <c r="M3" s="7">
        <v>2025.0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>
        <v>44201.75</v>
      </c>
      <c r="C5" s="12">
        <v>34687.35</v>
      </c>
      <c r="D5" s="13"/>
      <c r="E5" s="12"/>
      <c r="F5" s="12"/>
      <c r="G5" s="14"/>
      <c r="H5" s="15"/>
      <c r="I5" s="15"/>
      <c r="J5" s="16"/>
      <c r="K5" s="15"/>
      <c r="L5" s="14"/>
      <c r="M5" s="14"/>
      <c r="N5" s="17">
        <f t="shared" ref="N5:N8" si="1">SUM(B5:M5)</f>
        <v>78889.1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>
        <v>0.0</v>
      </c>
      <c r="C6" s="12">
        <v>0.0</v>
      </c>
      <c r="D6" s="13"/>
      <c r="E6" s="12"/>
      <c r="F6" s="13"/>
      <c r="G6" s="12"/>
      <c r="H6" s="14"/>
      <c r="I6" s="14"/>
      <c r="J6" s="19"/>
      <c r="K6" s="20"/>
      <c r="L6" s="14"/>
      <c r="M6" s="14"/>
      <c r="N6" s="17">
        <f t="shared" si="1"/>
        <v>0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12">
        <v>45.37</v>
      </c>
      <c r="C7" s="12">
        <v>1525.72</v>
      </c>
      <c r="D7" s="12"/>
      <c r="E7" s="12"/>
      <c r="F7" s="12"/>
      <c r="G7" s="12"/>
      <c r="H7" s="12"/>
      <c r="I7" s="12"/>
      <c r="J7" s="12"/>
      <c r="K7" s="21"/>
      <c r="L7" s="21"/>
      <c r="M7" s="21"/>
      <c r="N7" s="17">
        <f t="shared" si="1"/>
        <v>1571.09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44156.38</v>
      </c>
      <c r="C8" s="23">
        <f t="shared" si="2"/>
        <v>33161.63</v>
      </c>
      <c r="D8" s="23">
        <f t="shared" si="2"/>
        <v>0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0</v>
      </c>
      <c r="M8" s="23">
        <f t="shared" si="2"/>
        <v>0</v>
      </c>
      <c r="N8" s="24">
        <f t="shared" si="1"/>
        <v>77318.01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2025.0</v>
      </c>
      <c r="C10" s="7">
        <v>2025.0</v>
      </c>
      <c r="D10" s="7">
        <v>2025.0</v>
      </c>
      <c r="E10" s="7">
        <v>2025.0</v>
      </c>
      <c r="F10" s="7">
        <v>2025.0</v>
      </c>
      <c r="G10" s="7">
        <v>2025.0</v>
      </c>
      <c r="H10" s="7">
        <v>2025.0</v>
      </c>
      <c r="I10" s="7">
        <v>2025.0</v>
      </c>
      <c r="J10" s="7">
        <v>2025.0</v>
      </c>
      <c r="K10" s="7">
        <v>2025.0</v>
      </c>
      <c r="L10" s="7">
        <v>2025.0</v>
      </c>
      <c r="M10" s="7">
        <v>2025.0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5">
        <v>15848.74</v>
      </c>
      <c r="C12" s="25">
        <v>13027.07</v>
      </c>
      <c r="D12" s="25"/>
      <c r="E12" s="25"/>
      <c r="F12" s="25"/>
      <c r="G12" s="25"/>
      <c r="H12" s="26"/>
      <c r="I12" s="25"/>
      <c r="J12" s="25"/>
      <c r="K12" s="27"/>
      <c r="L12" s="13"/>
      <c r="M12" s="28"/>
      <c r="N12" s="29">
        <f t="shared" ref="N12:N13" si="4">SUM(B12:M12)</f>
        <v>28875.81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28307.64</v>
      </c>
      <c r="C13" s="30">
        <f t="shared" si="3"/>
        <v>20134.56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48442.2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2025.0</v>
      </c>
      <c r="C15" s="7">
        <v>2025.0</v>
      </c>
      <c r="D15" s="7">
        <v>2025.0</v>
      </c>
      <c r="E15" s="7">
        <v>2025.0</v>
      </c>
      <c r="F15" s="7">
        <v>2025.0</v>
      </c>
      <c r="G15" s="7">
        <v>2025.0</v>
      </c>
      <c r="H15" s="7">
        <v>2025.0</v>
      </c>
      <c r="I15" s="7">
        <v>2025.0</v>
      </c>
      <c r="J15" s="7">
        <v>2025.0</v>
      </c>
      <c r="K15" s="7">
        <v>2025.0</v>
      </c>
      <c r="L15" s="7">
        <v>2025.0</v>
      </c>
      <c r="M15" s="7">
        <v>2025.0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2" t="s">
        <v>22</v>
      </c>
      <c r="B17" s="20">
        <v>18934.08</v>
      </c>
      <c r="C17" s="20">
        <v>8304.93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33">
        <f t="shared" ref="N17:N20" si="6">SUM(B17:M17)</f>
        <v>27239.01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4" t="s">
        <v>23</v>
      </c>
      <c r="B18" s="20">
        <f t="shared" ref="B18:C18" si="5">B5*0.03489</f>
        <v>1542.199058</v>
      </c>
      <c r="C18" s="20">
        <f t="shared" si="5"/>
        <v>1210.241642</v>
      </c>
      <c r="D18" s="20"/>
      <c r="E18" s="20"/>
      <c r="F18" s="35"/>
      <c r="G18" s="35"/>
      <c r="H18" s="35"/>
      <c r="I18" s="36"/>
      <c r="J18" s="35"/>
      <c r="K18" s="35"/>
      <c r="L18" s="35"/>
      <c r="M18" s="35"/>
      <c r="N18" s="33">
        <f t="shared" si="6"/>
        <v>2752.440699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24</v>
      </c>
      <c r="B19" s="20">
        <v>0.0</v>
      </c>
      <c r="C19" s="20">
        <v>0.0</v>
      </c>
      <c r="D19" s="20"/>
      <c r="E19" s="20"/>
      <c r="F19" s="20"/>
      <c r="G19" s="20"/>
      <c r="H19" s="20"/>
      <c r="I19" s="20"/>
      <c r="J19" s="20"/>
      <c r="K19" s="20"/>
      <c r="L19" s="20"/>
      <c r="M19" s="38"/>
      <c r="N19" s="33">
        <f t="shared" si="6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7" t="s">
        <v>25</v>
      </c>
      <c r="B20" s="20">
        <v>370.8</v>
      </c>
      <c r="C20" s="20">
        <v>239.5</v>
      </c>
      <c r="D20" s="20"/>
      <c r="E20" s="20"/>
      <c r="F20" s="20"/>
      <c r="G20" s="20"/>
      <c r="H20" s="20"/>
      <c r="I20" s="20"/>
      <c r="J20" s="20"/>
      <c r="K20" s="20"/>
      <c r="L20" s="20"/>
      <c r="M20" s="38"/>
      <c r="N20" s="33">
        <f t="shared" si="6"/>
        <v>610.3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7" t="s">
        <v>26</v>
      </c>
      <c r="B21" s="20">
        <v>0.0</v>
      </c>
      <c r="C21" s="20">
        <v>0.0</v>
      </c>
      <c r="D21" s="20"/>
      <c r="E21" s="20"/>
      <c r="F21" s="20"/>
      <c r="G21" s="20"/>
      <c r="H21" s="20"/>
      <c r="I21" s="20"/>
      <c r="J21" s="20"/>
      <c r="K21" s="27"/>
      <c r="L21" s="13"/>
      <c r="M21" s="13"/>
      <c r="N21" s="33">
        <f>SUM(C21:M21)</f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9" t="s">
        <v>27</v>
      </c>
      <c r="B22" s="20">
        <v>0.0</v>
      </c>
      <c r="C22" s="20">
        <v>0.0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33">
        <f t="shared" ref="N22:N25" si="7">SUM(B22:M22)</f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7" t="s">
        <v>28</v>
      </c>
      <c r="B23" s="20">
        <v>500.0</v>
      </c>
      <c r="C23" s="20">
        <v>500.0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33">
        <f t="shared" si="7"/>
        <v>1000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0" t="s">
        <v>29</v>
      </c>
      <c r="B24" s="20">
        <v>215.79</v>
      </c>
      <c r="C24" s="20">
        <v>137.27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33">
        <f t="shared" si="7"/>
        <v>353.06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2" t="s">
        <v>30</v>
      </c>
      <c r="B25" s="41">
        <f t="shared" ref="B25:M25" si="8">SUM(B17:B24)</f>
        <v>21562.86906</v>
      </c>
      <c r="C25" s="41">
        <f t="shared" si="8"/>
        <v>10391.94164</v>
      </c>
      <c r="D25" s="41">
        <f t="shared" si="8"/>
        <v>0</v>
      </c>
      <c r="E25" s="41">
        <f t="shared" si="8"/>
        <v>0</v>
      </c>
      <c r="F25" s="41">
        <f t="shared" si="8"/>
        <v>0</v>
      </c>
      <c r="G25" s="41">
        <f t="shared" si="8"/>
        <v>0</v>
      </c>
      <c r="H25" s="41">
        <f t="shared" si="8"/>
        <v>0</v>
      </c>
      <c r="I25" s="41">
        <f t="shared" si="8"/>
        <v>0</v>
      </c>
      <c r="J25" s="41">
        <f t="shared" si="8"/>
        <v>0</v>
      </c>
      <c r="K25" s="41">
        <f t="shared" si="8"/>
        <v>0</v>
      </c>
      <c r="L25" s="41">
        <f t="shared" si="8"/>
        <v>0</v>
      </c>
      <c r="M25" s="41">
        <f t="shared" si="8"/>
        <v>0</v>
      </c>
      <c r="N25" s="42">
        <f t="shared" si="7"/>
        <v>31954.8107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"/>
      <c r="B26" s="6"/>
      <c r="C26" s="6"/>
      <c r="D26" s="6"/>
      <c r="E26" s="43"/>
      <c r="F26" s="43"/>
      <c r="G26" s="43"/>
      <c r="H26" s="43"/>
      <c r="I26" s="43"/>
      <c r="J26" s="6"/>
      <c r="K26" s="6"/>
      <c r="L26" s="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8" t="s">
        <v>31</v>
      </c>
      <c r="B27" s="9" t="s">
        <v>1</v>
      </c>
      <c r="C27" s="9" t="s">
        <v>2</v>
      </c>
      <c r="D27" s="9" t="s">
        <v>3</v>
      </c>
      <c r="E27" s="8" t="s">
        <v>4</v>
      </c>
      <c r="F27" s="8" t="s">
        <v>5</v>
      </c>
      <c r="G27" s="8" t="s">
        <v>6</v>
      </c>
      <c r="H27" s="8" t="s">
        <v>7</v>
      </c>
      <c r="I27" s="8" t="s">
        <v>8</v>
      </c>
      <c r="J27" s="8" t="s">
        <v>9</v>
      </c>
      <c r="K27" s="8" t="s">
        <v>10</v>
      </c>
      <c r="L27" s="8" t="s">
        <v>11</v>
      </c>
      <c r="M27" s="8" t="s">
        <v>12</v>
      </c>
      <c r="N27" s="44" t="s">
        <v>32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2" t="s">
        <v>33</v>
      </c>
      <c r="B28" s="45">
        <f t="shared" ref="B28:M28" si="9">MINUS(B13,B25)</f>
        <v>6744.770943</v>
      </c>
      <c r="C28" s="45">
        <f t="shared" si="9"/>
        <v>9742.618359</v>
      </c>
      <c r="D28" s="45">
        <f t="shared" si="9"/>
        <v>0</v>
      </c>
      <c r="E28" s="45">
        <f t="shared" si="9"/>
        <v>0</v>
      </c>
      <c r="F28" s="45">
        <f t="shared" si="9"/>
        <v>0</v>
      </c>
      <c r="G28" s="45">
        <f t="shared" si="9"/>
        <v>0</v>
      </c>
      <c r="H28" s="45">
        <f t="shared" si="9"/>
        <v>0</v>
      </c>
      <c r="I28" s="45">
        <f t="shared" si="9"/>
        <v>0</v>
      </c>
      <c r="J28" s="45">
        <f t="shared" si="9"/>
        <v>0</v>
      </c>
      <c r="K28" s="45">
        <f t="shared" si="9"/>
        <v>0</v>
      </c>
      <c r="L28" s="45">
        <f t="shared" si="9"/>
        <v>0</v>
      </c>
      <c r="M28" s="45">
        <f t="shared" si="9"/>
        <v>0</v>
      </c>
      <c r="N28" s="46">
        <f>SUM(B28:M28)</f>
        <v>16487.3893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8" t="s">
        <v>34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 t="s">
        <v>35</v>
      </c>
      <c r="B32" s="49" t="str">
        <f t="shared" ref="B32:B33" si="10">SUM(#REF!)</f>
        <v>#REF!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7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 t="s">
        <v>36</v>
      </c>
      <c r="B33" s="49" t="str">
        <f t="shared" si="10"/>
        <v>#REF!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7"/>
      <c r="N33" s="7"/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37</v>
      </c>
      <c r="B34" s="50" t="str">
        <f>sum(#REF!)</f>
        <v>#REF!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7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 t="s">
        <v>22</v>
      </c>
      <c r="B35" s="49">
        <f>SUM(N17)</f>
        <v>27239.01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 t="s">
        <v>38</v>
      </c>
      <c r="B36" s="49" t="str">
        <f>sum(#REF!)</f>
        <v>#REF!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/>
      <c r="B37" s="4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3"/>
      <c r="B42" s="5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3"/>
      <c r="B43" s="5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6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3"/>
      <c r="B45" s="5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3"/>
      <c r="B46" s="5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</sheetData>
  <mergeCells count="1">
    <mergeCell ref="A31:B3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2025.0</v>
      </c>
      <c r="C3" s="7">
        <v>2025.0</v>
      </c>
      <c r="D3" s="7">
        <v>2025.0</v>
      </c>
      <c r="E3" s="7">
        <v>2025.0</v>
      </c>
      <c r="F3" s="7">
        <v>2025.0</v>
      </c>
      <c r="G3" s="7">
        <v>2025.0</v>
      </c>
      <c r="H3" s="7">
        <v>2025.0</v>
      </c>
      <c r="I3" s="7">
        <v>2025.0</v>
      </c>
      <c r="J3" s="7">
        <v>2025.0</v>
      </c>
      <c r="K3" s="7">
        <v>2025.0</v>
      </c>
      <c r="L3" s="7">
        <v>2025.0</v>
      </c>
      <c r="M3" s="7">
        <v>2025.0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2"/>
      <c r="D5" s="13"/>
      <c r="E5" s="12">
        <v>6482.8</v>
      </c>
      <c r="F5" s="12">
        <v>28736.73</v>
      </c>
      <c r="G5" s="14">
        <v>56261.56</v>
      </c>
      <c r="H5" s="15">
        <v>67694.03</v>
      </c>
      <c r="I5" s="15">
        <v>60654.68</v>
      </c>
      <c r="J5" s="16">
        <v>54668.1</v>
      </c>
      <c r="K5" s="56">
        <v>52017.62</v>
      </c>
      <c r="L5" s="14">
        <v>56683.46</v>
      </c>
      <c r="M5" s="14">
        <v>44546.21</v>
      </c>
      <c r="N5" s="17">
        <f t="shared" ref="N5:N8" si="1">SUM(B5:M5)</f>
        <v>427745.19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/>
      <c r="C6" s="12"/>
      <c r="D6" s="13"/>
      <c r="E6" s="12">
        <v>0.0</v>
      </c>
      <c r="F6" s="12">
        <v>0.0</v>
      </c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7">
        <f t="shared" si="1"/>
        <v>0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39</v>
      </c>
      <c r="B7" s="21"/>
      <c r="C7" s="21"/>
      <c r="D7" s="21"/>
      <c r="E7" s="12">
        <v>147.09</v>
      </c>
      <c r="F7" s="12">
        <v>28.5</v>
      </c>
      <c r="G7" s="12">
        <v>30.26</v>
      </c>
      <c r="H7" s="12">
        <v>898.2</v>
      </c>
      <c r="I7" s="12">
        <v>632.91</v>
      </c>
      <c r="J7" s="12">
        <v>1023.01</v>
      </c>
      <c r="K7" s="12">
        <v>109.1</v>
      </c>
      <c r="L7" s="12">
        <v>1117.85</v>
      </c>
      <c r="M7" s="12">
        <v>1212.59</v>
      </c>
      <c r="N7" s="17">
        <f t="shared" si="1"/>
        <v>5199.51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0</v>
      </c>
      <c r="C8" s="23">
        <f t="shared" si="2"/>
        <v>0</v>
      </c>
      <c r="D8" s="23">
        <f t="shared" si="2"/>
        <v>0</v>
      </c>
      <c r="E8" s="23">
        <f t="shared" si="2"/>
        <v>6335.71</v>
      </c>
      <c r="F8" s="23">
        <f t="shared" si="2"/>
        <v>28708.23</v>
      </c>
      <c r="G8" s="23">
        <f t="shared" si="2"/>
        <v>56231.3</v>
      </c>
      <c r="H8" s="23">
        <f t="shared" si="2"/>
        <v>66795.83</v>
      </c>
      <c r="I8" s="23">
        <f t="shared" si="2"/>
        <v>60021.77</v>
      </c>
      <c r="J8" s="23">
        <f t="shared" si="2"/>
        <v>53645.09</v>
      </c>
      <c r="K8" s="23">
        <f t="shared" si="2"/>
        <v>51908.52</v>
      </c>
      <c r="L8" s="23">
        <f t="shared" si="2"/>
        <v>55565.61</v>
      </c>
      <c r="M8" s="23">
        <f t="shared" si="2"/>
        <v>43333.62</v>
      </c>
      <c r="N8" s="24">
        <f t="shared" si="1"/>
        <v>422545.68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2025.0</v>
      </c>
      <c r="C10" s="7">
        <v>2025.0</v>
      </c>
      <c r="D10" s="7">
        <v>2025.0</v>
      </c>
      <c r="E10" s="7">
        <v>2025.0</v>
      </c>
      <c r="F10" s="7">
        <v>2025.0</v>
      </c>
      <c r="G10" s="7">
        <v>2025.0</v>
      </c>
      <c r="H10" s="7">
        <v>2025.0</v>
      </c>
      <c r="I10" s="7">
        <v>2025.0</v>
      </c>
      <c r="J10" s="7">
        <v>2025.0</v>
      </c>
      <c r="K10" s="7">
        <v>2025.0</v>
      </c>
      <c r="L10" s="7">
        <v>2025.0</v>
      </c>
      <c r="M10" s="7">
        <v>2025.0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5"/>
      <c r="C12" s="25"/>
      <c r="D12" s="25"/>
      <c r="E12" s="25">
        <v>2154.48</v>
      </c>
      <c r="F12" s="25">
        <v>9240.03</v>
      </c>
      <c r="G12" s="25">
        <v>17885.94</v>
      </c>
      <c r="H12" s="26">
        <v>22546.7</v>
      </c>
      <c r="I12" s="25">
        <v>20849.98</v>
      </c>
      <c r="J12" s="25">
        <v>19114.29</v>
      </c>
      <c r="K12" s="27">
        <v>17048.34</v>
      </c>
      <c r="L12" s="13">
        <v>18690.32</v>
      </c>
      <c r="M12" s="28">
        <v>14576.63</v>
      </c>
      <c r="N12" s="29">
        <f t="shared" ref="N12:N13" si="4">SUM(B12:M12)</f>
        <v>142106.71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0</v>
      </c>
      <c r="C13" s="30">
        <f t="shared" si="3"/>
        <v>0</v>
      </c>
      <c r="D13" s="30">
        <f t="shared" si="3"/>
        <v>0</v>
      </c>
      <c r="E13" s="30">
        <f t="shared" si="3"/>
        <v>4181.23</v>
      </c>
      <c r="F13" s="30">
        <f t="shared" si="3"/>
        <v>19468.2</v>
      </c>
      <c r="G13" s="30">
        <f t="shared" si="3"/>
        <v>38345.36</v>
      </c>
      <c r="H13" s="30">
        <f t="shared" si="3"/>
        <v>44249.13</v>
      </c>
      <c r="I13" s="30">
        <f t="shared" si="3"/>
        <v>39171.79</v>
      </c>
      <c r="J13" s="30">
        <f t="shared" si="3"/>
        <v>34530.8</v>
      </c>
      <c r="K13" s="30">
        <f t="shared" si="3"/>
        <v>34860.18</v>
      </c>
      <c r="L13" s="30">
        <f t="shared" si="3"/>
        <v>36875.29</v>
      </c>
      <c r="M13" s="30">
        <f t="shared" si="3"/>
        <v>28756.99</v>
      </c>
      <c r="N13" s="31">
        <f t="shared" si="4"/>
        <v>280438.97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2025.0</v>
      </c>
      <c r="C15" s="7">
        <v>2025.0</v>
      </c>
      <c r="D15" s="7">
        <v>2025.0</v>
      </c>
      <c r="E15" s="7">
        <v>2025.0</v>
      </c>
      <c r="F15" s="7">
        <v>2025.0</v>
      </c>
      <c r="G15" s="7">
        <v>2025.0</v>
      </c>
      <c r="H15" s="7">
        <v>2025.0</v>
      </c>
      <c r="I15" s="7">
        <v>2025.0</v>
      </c>
      <c r="J15" s="7">
        <v>2025.0</v>
      </c>
      <c r="K15" s="7">
        <v>2025.0</v>
      </c>
      <c r="L15" s="7">
        <v>2025.0</v>
      </c>
      <c r="M15" s="7">
        <v>2025.0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2" t="s">
        <v>22</v>
      </c>
      <c r="B17" s="20"/>
      <c r="C17" s="20"/>
      <c r="D17" s="20"/>
      <c r="E17" s="20">
        <v>5257.01</v>
      </c>
      <c r="F17" s="20">
        <v>18539.14</v>
      </c>
      <c r="G17" s="20">
        <v>35665.93</v>
      </c>
      <c r="H17" s="20">
        <v>30154.86</v>
      </c>
      <c r="I17" s="20">
        <v>11607.15</v>
      </c>
      <c r="J17" s="20">
        <v>22633.11</v>
      </c>
      <c r="K17" s="20">
        <v>21840.24</v>
      </c>
      <c r="L17" s="20">
        <v>28648.95</v>
      </c>
      <c r="M17" s="20">
        <v>9908.8</v>
      </c>
      <c r="N17" s="33">
        <f t="shared" ref="N17:N25" si="6">SUM(B17:M17)</f>
        <v>184255.19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7" t="s">
        <v>40</v>
      </c>
      <c r="B18" s="20"/>
      <c r="C18" s="20"/>
      <c r="D18" s="20"/>
      <c r="E18" s="20">
        <f t="shared" ref="E18:M18" si="5">E5*0.03489</f>
        <v>226.184892</v>
      </c>
      <c r="F18" s="20">
        <f t="shared" si="5"/>
        <v>1002.62451</v>
      </c>
      <c r="G18" s="20">
        <f t="shared" si="5"/>
        <v>1962.965828</v>
      </c>
      <c r="H18" s="20">
        <f t="shared" si="5"/>
        <v>2361.844707</v>
      </c>
      <c r="I18" s="20">
        <f t="shared" si="5"/>
        <v>2116.241785</v>
      </c>
      <c r="J18" s="20">
        <f t="shared" si="5"/>
        <v>1907.370009</v>
      </c>
      <c r="K18" s="20">
        <f t="shared" si="5"/>
        <v>1814.894762</v>
      </c>
      <c r="L18" s="20">
        <f t="shared" si="5"/>
        <v>1977.685919</v>
      </c>
      <c r="M18" s="20">
        <f t="shared" si="5"/>
        <v>1554.217267</v>
      </c>
      <c r="N18" s="33">
        <f t="shared" si="6"/>
        <v>14924.02968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7" t="s">
        <v>24</v>
      </c>
      <c r="B19" s="20"/>
      <c r="C19" s="20"/>
      <c r="D19" s="20"/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0">
        <v>0.0</v>
      </c>
      <c r="K19" s="20">
        <v>0.0</v>
      </c>
      <c r="L19" s="20">
        <v>0.0</v>
      </c>
      <c r="M19" s="20">
        <v>0.0</v>
      </c>
      <c r="N19" s="33">
        <f t="shared" si="6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7" t="s">
        <v>25</v>
      </c>
      <c r="B20" s="20"/>
      <c r="C20" s="20"/>
      <c r="D20" s="20"/>
      <c r="E20" s="20">
        <v>143.62</v>
      </c>
      <c r="F20" s="20">
        <v>143.8</v>
      </c>
      <c r="G20" s="20">
        <v>375.17</v>
      </c>
      <c r="H20" s="20">
        <v>295.22</v>
      </c>
      <c r="I20" s="20">
        <v>382.14</v>
      </c>
      <c r="J20" s="20">
        <v>378.18</v>
      </c>
      <c r="K20" s="20">
        <v>418.14</v>
      </c>
      <c r="L20" s="20">
        <v>383.55</v>
      </c>
      <c r="M20" s="38">
        <v>372.52</v>
      </c>
      <c r="N20" s="33">
        <f t="shared" si="6"/>
        <v>2892.34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7" t="s">
        <v>26</v>
      </c>
      <c r="B21" s="20"/>
      <c r="C21" s="20"/>
      <c r="D21" s="20"/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  <c r="J21" s="20">
        <v>0.0</v>
      </c>
      <c r="K21" s="20">
        <v>0.0</v>
      </c>
      <c r="L21" s="20">
        <v>0.0</v>
      </c>
      <c r="M21" s="13">
        <v>0.0</v>
      </c>
      <c r="N21" s="33">
        <f t="shared" si="6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9" t="s">
        <v>27</v>
      </c>
      <c r="B22" s="20"/>
      <c r="C22" s="20"/>
      <c r="D22" s="20"/>
      <c r="E22" s="20">
        <v>0.0</v>
      </c>
      <c r="F22" s="20">
        <v>0.0</v>
      </c>
      <c r="G22" s="20">
        <v>0.0</v>
      </c>
      <c r="H22" s="20">
        <v>0.0</v>
      </c>
      <c r="I22" s="20">
        <v>0.0</v>
      </c>
      <c r="J22" s="20">
        <v>0.0</v>
      </c>
      <c r="K22" s="20">
        <v>0.0</v>
      </c>
      <c r="L22" s="20">
        <v>0.0</v>
      </c>
      <c r="M22" s="20">
        <v>0.0</v>
      </c>
      <c r="N22" s="33">
        <f t="shared" si="6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7" t="s">
        <v>28</v>
      </c>
      <c r="B23" s="20"/>
      <c r="C23" s="20"/>
      <c r="D23" s="20"/>
      <c r="E23" s="20">
        <v>0.0</v>
      </c>
      <c r="F23" s="20">
        <v>0.0</v>
      </c>
      <c r="G23" s="20">
        <v>0.0</v>
      </c>
      <c r="H23" s="20">
        <v>500.0</v>
      </c>
      <c r="I23" s="20">
        <v>500.0</v>
      </c>
      <c r="J23" s="20">
        <v>500.0</v>
      </c>
      <c r="K23" s="20">
        <v>500.0</v>
      </c>
      <c r="L23" s="20">
        <v>500.0</v>
      </c>
      <c r="M23" s="20">
        <v>500.0</v>
      </c>
      <c r="N23" s="33">
        <f t="shared" si="6"/>
        <v>3000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0" t="s">
        <v>29</v>
      </c>
      <c r="B24" s="20"/>
      <c r="C24" s="20"/>
      <c r="D24" s="20"/>
      <c r="E24" s="20">
        <v>0.0</v>
      </c>
      <c r="F24" s="20">
        <v>0.0</v>
      </c>
      <c r="G24" s="20">
        <v>22.27</v>
      </c>
      <c r="H24" s="20">
        <v>256.38</v>
      </c>
      <c r="I24" s="20">
        <v>338.32</v>
      </c>
      <c r="J24" s="20">
        <v>324.8</v>
      </c>
      <c r="K24" s="20">
        <v>295.78</v>
      </c>
      <c r="L24" s="20">
        <v>317.26</v>
      </c>
      <c r="M24" s="20">
        <v>244.74</v>
      </c>
      <c r="N24" s="33">
        <f t="shared" si="6"/>
        <v>1799.55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2" t="s">
        <v>30</v>
      </c>
      <c r="B25" s="41">
        <f t="shared" ref="B25:M25" si="7">SUM(B17:B24)</f>
        <v>0</v>
      </c>
      <c r="C25" s="41">
        <f t="shared" si="7"/>
        <v>0</v>
      </c>
      <c r="D25" s="41">
        <f t="shared" si="7"/>
        <v>0</v>
      </c>
      <c r="E25" s="41">
        <f t="shared" si="7"/>
        <v>5626.814892</v>
      </c>
      <c r="F25" s="41">
        <f t="shared" si="7"/>
        <v>19685.56451</v>
      </c>
      <c r="G25" s="41">
        <f t="shared" si="7"/>
        <v>38026.33583</v>
      </c>
      <c r="H25" s="41">
        <f t="shared" si="7"/>
        <v>33568.30471</v>
      </c>
      <c r="I25" s="41">
        <f t="shared" si="7"/>
        <v>14943.85179</v>
      </c>
      <c r="J25" s="41">
        <f t="shared" si="7"/>
        <v>25743.46001</v>
      </c>
      <c r="K25" s="41">
        <f t="shared" si="7"/>
        <v>24869.05476</v>
      </c>
      <c r="L25" s="41">
        <f t="shared" si="7"/>
        <v>31827.44592</v>
      </c>
      <c r="M25" s="41">
        <f t="shared" si="7"/>
        <v>12580.27727</v>
      </c>
      <c r="N25" s="42">
        <f t="shared" si="6"/>
        <v>206871.1097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"/>
      <c r="B26" s="6"/>
      <c r="C26" s="6"/>
      <c r="D26" s="6"/>
      <c r="E26" s="43"/>
      <c r="F26" s="43"/>
      <c r="G26" s="43"/>
      <c r="H26" s="43"/>
      <c r="I26" s="43"/>
      <c r="J26" s="6"/>
      <c r="K26" s="6"/>
      <c r="L26" s="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8" t="s">
        <v>31</v>
      </c>
      <c r="B27" s="9" t="s">
        <v>1</v>
      </c>
      <c r="C27" s="9" t="s">
        <v>2</v>
      </c>
      <c r="D27" s="9" t="s">
        <v>3</v>
      </c>
      <c r="E27" s="8" t="s">
        <v>4</v>
      </c>
      <c r="F27" s="8" t="s">
        <v>5</v>
      </c>
      <c r="G27" s="8" t="s">
        <v>6</v>
      </c>
      <c r="H27" s="8" t="s">
        <v>7</v>
      </c>
      <c r="I27" s="8" t="s">
        <v>8</v>
      </c>
      <c r="J27" s="8" t="s">
        <v>9</v>
      </c>
      <c r="K27" s="8" t="s">
        <v>10</v>
      </c>
      <c r="L27" s="8" t="s">
        <v>11</v>
      </c>
      <c r="M27" s="8" t="s">
        <v>12</v>
      </c>
      <c r="N27" s="44" t="s">
        <v>32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2" t="s">
        <v>33</v>
      </c>
      <c r="B28" s="45">
        <f t="shared" ref="B28:M28" si="8">MINUS(B13,B25)</f>
        <v>0</v>
      </c>
      <c r="C28" s="45">
        <f t="shared" si="8"/>
        <v>0</v>
      </c>
      <c r="D28" s="45">
        <f t="shared" si="8"/>
        <v>0</v>
      </c>
      <c r="E28" s="45">
        <f t="shared" si="8"/>
        <v>-1445.584892</v>
      </c>
      <c r="F28" s="45">
        <f t="shared" si="8"/>
        <v>-217.3645097</v>
      </c>
      <c r="G28" s="45">
        <f t="shared" si="8"/>
        <v>319.0241716</v>
      </c>
      <c r="H28" s="45">
        <f t="shared" si="8"/>
        <v>10680.82529</v>
      </c>
      <c r="I28" s="45">
        <f t="shared" si="8"/>
        <v>24227.93821</v>
      </c>
      <c r="J28" s="45">
        <f t="shared" si="8"/>
        <v>8787.339991</v>
      </c>
      <c r="K28" s="45">
        <f t="shared" si="8"/>
        <v>9991.125238</v>
      </c>
      <c r="L28" s="45">
        <f t="shared" si="8"/>
        <v>5047.844081</v>
      </c>
      <c r="M28" s="45">
        <f t="shared" si="8"/>
        <v>16176.71273</v>
      </c>
      <c r="N28" s="46">
        <f>SUM(B28:M28)</f>
        <v>73567.86032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8" t="s">
        <v>34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 t="s">
        <v>35</v>
      </c>
      <c r="B32" s="49" t="str">
        <f t="shared" ref="B32:B33" si="9">SUM(#REF!)</f>
        <v>#REF!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7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 t="s">
        <v>36</v>
      </c>
      <c r="B33" s="49" t="str">
        <f t="shared" si="9"/>
        <v>#REF!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7"/>
      <c r="N33" s="7"/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37</v>
      </c>
      <c r="B34" s="50" t="str">
        <f>sum(#REF!)</f>
        <v>#REF!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7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 t="s">
        <v>22</v>
      </c>
      <c r="B35" s="49">
        <f>SUM(N17)</f>
        <v>184255.19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 t="s">
        <v>38</v>
      </c>
      <c r="B36" s="49" t="str">
        <f>sum(#REF!)</f>
        <v>#REF!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/>
      <c r="B37" s="4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3"/>
      <c r="B42" s="5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3"/>
      <c r="B43" s="5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6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3"/>
      <c r="B45" s="5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3"/>
      <c r="B46" s="5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</sheetData>
  <mergeCells count="1">
    <mergeCell ref="A31:B3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2024.0</v>
      </c>
      <c r="C3" s="7">
        <v>2024.0</v>
      </c>
      <c r="D3" s="7">
        <v>2024.0</v>
      </c>
      <c r="E3" s="7">
        <v>2024.0</v>
      </c>
      <c r="F3" s="7">
        <v>2024.0</v>
      </c>
      <c r="G3" s="7">
        <v>2024.0</v>
      </c>
      <c r="H3" s="7">
        <v>2024.0</v>
      </c>
      <c r="I3" s="7">
        <v>2024.0</v>
      </c>
      <c r="J3" s="7">
        <v>2024.0</v>
      </c>
      <c r="K3" s="7">
        <v>2024.0</v>
      </c>
      <c r="L3" s="7">
        <v>2024.0</v>
      </c>
      <c r="M3" s="7">
        <v>2024.0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25"/>
      <c r="D5" s="13"/>
      <c r="E5" s="25"/>
      <c r="F5" s="25"/>
      <c r="G5" s="57"/>
      <c r="H5" s="58"/>
      <c r="I5" s="59"/>
      <c r="J5" s="60"/>
      <c r="K5" s="58"/>
      <c r="L5" s="57"/>
      <c r="M5" s="57"/>
      <c r="N5" s="17">
        <f t="shared" ref="N5:N8" si="1">SUM(B5:M5)</f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/>
      <c r="C6" s="25"/>
      <c r="D6" s="13"/>
      <c r="E6" s="25"/>
      <c r="F6" s="13"/>
      <c r="G6" s="25"/>
      <c r="H6" s="57"/>
      <c r="I6" s="57"/>
      <c r="J6" s="61"/>
      <c r="K6" s="27"/>
      <c r="L6" s="57"/>
      <c r="M6" s="57"/>
      <c r="N6" s="17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17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0</v>
      </c>
      <c r="C8" s="23">
        <f t="shared" si="2"/>
        <v>0</v>
      </c>
      <c r="D8" s="23">
        <f t="shared" si="2"/>
        <v>0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0</v>
      </c>
      <c r="M8" s="23">
        <f t="shared" si="2"/>
        <v>0</v>
      </c>
      <c r="N8" s="24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2024.0</v>
      </c>
      <c r="C10" s="7">
        <v>2024.0</v>
      </c>
      <c r="D10" s="7">
        <v>2024.0</v>
      </c>
      <c r="E10" s="7">
        <v>2024.0</v>
      </c>
      <c r="F10" s="7">
        <v>2024.0</v>
      </c>
      <c r="G10" s="7">
        <v>2024.0</v>
      </c>
      <c r="H10" s="7">
        <v>2024.0</v>
      </c>
      <c r="I10" s="7">
        <v>2024.0</v>
      </c>
      <c r="J10" s="7">
        <v>2024.0</v>
      </c>
      <c r="K10" s="7">
        <v>2024.0</v>
      </c>
      <c r="L10" s="7">
        <v>2024.0</v>
      </c>
      <c r="M10" s="7">
        <v>2024.0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5"/>
      <c r="C12" s="25"/>
      <c r="D12" s="25"/>
      <c r="E12" s="25"/>
      <c r="F12" s="25"/>
      <c r="G12" s="25"/>
      <c r="H12" s="26"/>
      <c r="I12" s="25"/>
      <c r="J12" s="25"/>
      <c r="K12" s="27"/>
      <c r="L12" s="13"/>
      <c r="M12" s="28"/>
      <c r="N12" s="29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0</v>
      </c>
      <c r="C13" s="30">
        <f t="shared" si="3"/>
        <v>0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2024.0</v>
      </c>
      <c r="C15" s="7">
        <v>2024.0</v>
      </c>
      <c r="D15" s="7">
        <v>2024.0</v>
      </c>
      <c r="E15" s="7">
        <v>2024.0</v>
      </c>
      <c r="F15" s="7">
        <v>2024.0</v>
      </c>
      <c r="G15" s="7">
        <v>2024.0</v>
      </c>
      <c r="H15" s="7">
        <v>2024.0</v>
      </c>
      <c r="I15" s="7">
        <v>2024.0</v>
      </c>
      <c r="J15" s="7">
        <v>2024.0</v>
      </c>
      <c r="K15" s="7">
        <v>2024.0</v>
      </c>
      <c r="L15" s="7">
        <v>2024.0</v>
      </c>
      <c r="M15" s="7">
        <v>2024.0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7" t="s">
        <v>41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33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2" t="s">
        <v>42</v>
      </c>
      <c r="B18" s="20"/>
      <c r="C18" s="20"/>
      <c r="D18" s="20"/>
      <c r="E18" s="20"/>
      <c r="F18" s="20"/>
      <c r="G18" s="20"/>
      <c r="H18" s="20"/>
      <c r="I18" s="20"/>
      <c r="J18" s="20"/>
      <c r="K18" s="27"/>
      <c r="L18" s="13"/>
      <c r="M18" s="13"/>
      <c r="N18" s="33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0" t="s">
        <v>35</v>
      </c>
      <c r="B19" s="20"/>
      <c r="C19" s="20"/>
      <c r="D19" s="20"/>
      <c r="E19" s="20"/>
      <c r="F19" s="20"/>
      <c r="G19" s="20"/>
      <c r="H19" s="20"/>
      <c r="I19" s="20"/>
      <c r="J19" s="20"/>
      <c r="K19" s="27"/>
      <c r="L19" s="13"/>
      <c r="M19" s="13"/>
      <c r="N19" s="33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2" t="s">
        <v>22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3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0" t="s">
        <v>38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33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4" t="s">
        <v>23</v>
      </c>
      <c r="B22" s="20"/>
      <c r="C22" s="20"/>
      <c r="D22" s="20"/>
      <c r="E22" s="20"/>
      <c r="F22" s="35"/>
      <c r="G22" s="35"/>
      <c r="H22" s="35"/>
      <c r="I22" s="35"/>
      <c r="J22" s="35"/>
      <c r="K22" s="35"/>
      <c r="L22" s="35"/>
      <c r="M22" s="35"/>
      <c r="N22" s="33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7" t="s">
        <v>24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38"/>
      <c r="N23" s="33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7" t="s">
        <v>25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38"/>
      <c r="N24" s="33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7" t="s">
        <v>26</v>
      </c>
      <c r="B25" s="20"/>
      <c r="C25" s="20"/>
      <c r="D25" s="20"/>
      <c r="E25" s="20"/>
      <c r="F25" s="20"/>
      <c r="G25" s="20"/>
      <c r="H25" s="20"/>
      <c r="I25" s="20"/>
      <c r="J25" s="20"/>
      <c r="K25" s="27"/>
      <c r="L25" s="13"/>
      <c r="M25" s="13"/>
      <c r="N25" s="33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9" t="s">
        <v>27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3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4" t="s">
        <v>43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33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0" t="s">
        <v>44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33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2" t="s">
        <v>45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3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30</v>
      </c>
      <c r="B30" s="41">
        <f t="shared" ref="B30:M30" si="6">SUM(B17:B29)</f>
        <v>0</v>
      </c>
      <c r="C30" s="41">
        <f t="shared" si="6"/>
        <v>0</v>
      </c>
      <c r="D30" s="41">
        <f t="shared" si="6"/>
        <v>0</v>
      </c>
      <c r="E30" s="41">
        <f t="shared" si="6"/>
        <v>0</v>
      </c>
      <c r="F30" s="41">
        <f t="shared" si="6"/>
        <v>0</v>
      </c>
      <c r="G30" s="41">
        <f t="shared" si="6"/>
        <v>0</v>
      </c>
      <c r="H30" s="41">
        <f t="shared" si="6"/>
        <v>0</v>
      </c>
      <c r="I30" s="41">
        <f t="shared" si="6"/>
        <v>0</v>
      </c>
      <c r="J30" s="41">
        <f t="shared" si="6"/>
        <v>0</v>
      </c>
      <c r="K30" s="41">
        <f t="shared" si="6"/>
        <v>0</v>
      </c>
      <c r="L30" s="41">
        <f t="shared" si="6"/>
        <v>0</v>
      </c>
      <c r="M30" s="41">
        <f t="shared" si="6"/>
        <v>0</v>
      </c>
      <c r="N30" s="42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3"/>
      <c r="F31" s="43"/>
      <c r="G31" s="43"/>
      <c r="H31" s="43"/>
      <c r="I31" s="43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31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4" t="s">
        <v>32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33</v>
      </c>
      <c r="B33" s="45">
        <f t="shared" ref="B33:M33" si="7">MINUS(B13,B30)</f>
        <v>0</v>
      </c>
      <c r="C33" s="45">
        <f t="shared" si="7"/>
        <v>0</v>
      </c>
      <c r="D33" s="45">
        <f t="shared" si="7"/>
        <v>0</v>
      </c>
      <c r="E33" s="45">
        <f t="shared" si="7"/>
        <v>0</v>
      </c>
      <c r="F33" s="45">
        <f t="shared" si="7"/>
        <v>0</v>
      </c>
      <c r="G33" s="45">
        <f t="shared" si="7"/>
        <v>0</v>
      </c>
      <c r="H33" s="45">
        <f t="shared" si="7"/>
        <v>0</v>
      </c>
      <c r="I33" s="45">
        <f t="shared" si="7"/>
        <v>0</v>
      </c>
      <c r="J33" s="45">
        <f t="shared" si="7"/>
        <v>0</v>
      </c>
      <c r="K33" s="45">
        <f t="shared" si="7"/>
        <v>0</v>
      </c>
      <c r="L33" s="45">
        <f t="shared" si="7"/>
        <v>0</v>
      </c>
      <c r="M33" s="45">
        <f t="shared" si="7"/>
        <v>0</v>
      </c>
      <c r="N33" s="46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8" t="s">
        <v>34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35</v>
      </c>
      <c r="B37" s="49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36</v>
      </c>
      <c r="B38" s="49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37</v>
      </c>
      <c r="B39" s="50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22</v>
      </c>
      <c r="B40" s="49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38</v>
      </c>
      <c r="B41" s="49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4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3"/>
      <c r="B47" s="5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3"/>
      <c r="B48" s="5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3"/>
      <c r="B50" s="5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3"/>
      <c r="B51" s="5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2023.0</v>
      </c>
      <c r="C3" s="7">
        <v>2023.0</v>
      </c>
      <c r="D3" s="7">
        <v>2023.0</v>
      </c>
      <c r="E3" s="7">
        <v>2023.0</v>
      </c>
      <c r="F3" s="7">
        <v>2023.0</v>
      </c>
      <c r="G3" s="7">
        <v>2023.0</v>
      </c>
      <c r="H3" s="7">
        <v>2023.0</v>
      </c>
      <c r="I3" s="7">
        <v>2023.0</v>
      </c>
      <c r="J3" s="7">
        <v>2023.0</v>
      </c>
      <c r="K3" s="7">
        <v>2023.0</v>
      </c>
      <c r="L3" s="7">
        <v>2023.0</v>
      </c>
      <c r="M3" s="7">
        <v>2023.0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25"/>
      <c r="D5" s="13"/>
      <c r="E5" s="25"/>
      <c r="F5" s="25"/>
      <c r="G5" s="57"/>
      <c r="H5" s="58"/>
      <c r="I5" s="59"/>
      <c r="J5" s="60"/>
      <c r="K5" s="58"/>
      <c r="L5" s="57"/>
      <c r="M5" s="57"/>
      <c r="N5" s="17">
        <f t="shared" ref="N5:N8" si="1">SUM(B5:M5)</f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/>
      <c r="C6" s="25"/>
      <c r="D6" s="13"/>
      <c r="E6" s="25"/>
      <c r="F6" s="13"/>
      <c r="G6" s="25"/>
      <c r="H6" s="57"/>
      <c r="I6" s="57"/>
      <c r="J6" s="61"/>
      <c r="K6" s="27"/>
      <c r="L6" s="57"/>
      <c r="M6" s="57"/>
      <c r="N6" s="17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17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0</v>
      </c>
      <c r="C8" s="23">
        <f t="shared" si="2"/>
        <v>0</v>
      </c>
      <c r="D8" s="23">
        <f t="shared" si="2"/>
        <v>0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0</v>
      </c>
      <c r="M8" s="23">
        <f t="shared" si="2"/>
        <v>0</v>
      </c>
      <c r="N8" s="24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2023.0</v>
      </c>
      <c r="C10" s="7">
        <v>2023.0</v>
      </c>
      <c r="D10" s="7">
        <v>2023.0</v>
      </c>
      <c r="E10" s="7">
        <v>2023.0</v>
      </c>
      <c r="F10" s="7">
        <v>2023.0</v>
      </c>
      <c r="G10" s="7">
        <v>2023.0</v>
      </c>
      <c r="H10" s="7">
        <v>2023.0</v>
      </c>
      <c r="I10" s="7">
        <v>2023.0</v>
      </c>
      <c r="J10" s="7">
        <v>2023.0</v>
      </c>
      <c r="K10" s="7">
        <v>2023.0</v>
      </c>
      <c r="L10" s="7">
        <v>2023.0</v>
      </c>
      <c r="M10" s="7">
        <v>2023.0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5"/>
      <c r="C12" s="25"/>
      <c r="D12" s="25"/>
      <c r="E12" s="25"/>
      <c r="F12" s="25"/>
      <c r="G12" s="25"/>
      <c r="H12" s="26"/>
      <c r="I12" s="25"/>
      <c r="J12" s="25"/>
      <c r="K12" s="27"/>
      <c r="L12" s="13"/>
      <c r="M12" s="28"/>
      <c r="N12" s="29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0</v>
      </c>
      <c r="C13" s="30">
        <f t="shared" si="3"/>
        <v>0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2023.0</v>
      </c>
      <c r="C15" s="7">
        <v>2023.0</v>
      </c>
      <c r="D15" s="7">
        <v>2023.0</v>
      </c>
      <c r="E15" s="7">
        <v>2023.0</v>
      </c>
      <c r="F15" s="7">
        <v>2023.0</v>
      </c>
      <c r="G15" s="7">
        <v>2023.0</v>
      </c>
      <c r="H15" s="7">
        <v>2023.0</v>
      </c>
      <c r="I15" s="7">
        <v>2023.0</v>
      </c>
      <c r="J15" s="7">
        <v>2023.0</v>
      </c>
      <c r="K15" s="7">
        <v>2023.0</v>
      </c>
      <c r="L15" s="7">
        <v>2023.0</v>
      </c>
      <c r="M15" s="7">
        <v>2023.0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7" t="s">
        <v>41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33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2" t="s">
        <v>42</v>
      </c>
      <c r="B18" s="20"/>
      <c r="C18" s="20"/>
      <c r="D18" s="20"/>
      <c r="E18" s="20"/>
      <c r="F18" s="20"/>
      <c r="G18" s="20"/>
      <c r="H18" s="20"/>
      <c r="I18" s="20"/>
      <c r="J18" s="20"/>
      <c r="K18" s="27"/>
      <c r="L18" s="13"/>
      <c r="M18" s="13"/>
      <c r="N18" s="33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0" t="s">
        <v>35</v>
      </c>
      <c r="B19" s="20"/>
      <c r="C19" s="20"/>
      <c r="D19" s="20"/>
      <c r="E19" s="20"/>
      <c r="F19" s="20"/>
      <c r="G19" s="20"/>
      <c r="H19" s="20"/>
      <c r="I19" s="20"/>
      <c r="J19" s="20"/>
      <c r="K19" s="27"/>
      <c r="L19" s="13"/>
      <c r="M19" s="13"/>
      <c r="N19" s="33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2" t="s">
        <v>22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3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0" t="s">
        <v>38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33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4" t="s">
        <v>23</v>
      </c>
      <c r="B22" s="20"/>
      <c r="C22" s="20"/>
      <c r="D22" s="20"/>
      <c r="E22" s="20"/>
      <c r="F22" s="35"/>
      <c r="G22" s="35"/>
      <c r="H22" s="35"/>
      <c r="I22" s="35"/>
      <c r="J22" s="35"/>
      <c r="K22" s="35"/>
      <c r="L22" s="35"/>
      <c r="M22" s="35"/>
      <c r="N22" s="33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7" t="s">
        <v>24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38"/>
      <c r="N23" s="33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7" t="s">
        <v>25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38"/>
      <c r="N24" s="33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7" t="s">
        <v>26</v>
      </c>
      <c r="B25" s="20"/>
      <c r="C25" s="20"/>
      <c r="D25" s="20"/>
      <c r="E25" s="20"/>
      <c r="F25" s="20"/>
      <c r="G25" s="20"/>
      <c r="H25" s="20"/>
      <c r="I25" s="20"/>
      <c r="J25" s="20"/>
      <c r="K25" s="27"/>
      <c r="L25" s="13"/>
      <c r="M25" s="13"/>
      <c r="N25" s="33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9" t="s">
        <v>27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3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4" t="s">
        <v>43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33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0" t="s">
        <v>44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33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2" t="s">
        <v>45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3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30</v>
      </c>
      <c r="B30" s="41">
        <f t="shared" ref="B30:M30" si="6">SUM(B17:B29)</f>
        <v>0</v>
      </c>
      <c r="C30" s="41">
        <f t="shared" si="6"/>
        <v>0</v>
      </c>
      <c r="D30" s="41">
        <f t="shared" si="6"/>
        <v>0</v>
      </c>
      <c r="E30" s="41">
        <f t="shared" si="6"/>
        <v>0</v>
      </c>
      <c r="F30" s="41">
        <f t="shared" si="6"/>
        <v>0</v>
      </c>
      <c r="G30" s="41">
        <f t="shared" si="6"/>
        <v>0</v>
      </c>
      <c r="H30" s="41">
        <f t="shared" si="6"/>
        <v>0</v>
      </c>
      <c r="I30" s="41">
        <f t="shared" si="6"/>
        <v>0</v>
      </c>
      <c r="J30" s="41">
        <f t="shared" si="6"/>
        <v>0</v>
      </c>
      <c r="K30" s="41">
        <f t="shared" si="6"/>
        <v>0</v>
      </c>
      <c r="L30" s="41">
        <f t="shared" si="6"/>
        <v>0</v>
      </c>
      <c r="M30" s="41">
        <f t="shared" si="6"/>
        <v>0</v>
      </c>
      <c r="N30" s="42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3"/>
      <c r="F31" s="43"/>
      <c r="G31" s="43"/>
      <c r="H31" s="43"/>
      <c r="I31" s="43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31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4" t="s">
        <v>32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33</v>
      </c>
      <c r="B33" s="45">
        <f t="shared" ref="B33:M33" si="7">MINUS(B13,B30)</f>
        <v>0</v>
      </c>
      <c r="C33" s="45">
        <f t="shared" si="7"/>
        <v>0</v>
      </c>
      <c r="D33" s="45">
        <f t="shared" si="7"/>
        <v>0</v>
      </c>
      <c r="E33" s="45">
        <f t="shared" si="7"/>
        <v>0</v>
      </c>
      <c r="F33" s="45">
        <f t="shared" si="7"/>
        <v>0</v>
      </c>
      <c r="G33" s="45">
        <f t="shared" si="7"/>
        <v>0</v>
      </c>
      <c r="H33" s="45">
        <f t="shared" si="7"/>
        <v>0</v>
      </c>
      <c r="I33" s="45">
        <f t="shared" si="7"/>
        <v>0</v>
      </c>
      <c r="J33" s="45">
        <f t="shared" si="7"/>
        <v>0</v>
      </c>
      <c r="K33" s="45">
        <f t="shared" si="7"/>
        <v>0</v>
      </c>
      <c r="L33" s="45">
        <f t="shared" si="7"/>
        <v>0</v>
      </c>
      <c r="M33" s="45">
        <f t="shared" si="7"/>
        <v>0</v>
      </c>
      <c r="N33" s="46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8" t="s">
        <v>34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35</v>
      </c>
      <c r="B37" s="49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36</v>
      </c>
      <c r="B38" s="49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37</v>
      </c>
      <c r="B39" s="50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22</v>
      </c>
      <c r="B40" s="49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38</v>
      </c>
      <c r="B41" s="49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4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3"/>
      <c r="B47" s="5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3"/>
      <c r="B48" s="5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3"/>
      <c r="B50" s="5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3"/>
      <c r="B51" s="5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