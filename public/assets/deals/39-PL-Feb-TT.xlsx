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5"/>
    <sheet state="visible" name="2024" sheetId="2" r:id="rId6"/>
    <sheet state="visible" name="2025" sheetId="3" r:id="rId7"/>
    <sheet state="visible" name="2026" sheetId="4" r:id="rId8"/>
  </sheets>
  <definedNames/>
  <calcPr/>
</workbook>
</file>

<file path=xl/sharedStrings.xml><?xml version="1.0" encoding="utf-8"?>
<sst xmlns="http://schemas.openxmlformats.org/spreadsheetml/2006/main" count="301" uniqueCount="42">
  <si>
    <t xml:space="preserve">TIMELESS USA </t>
  </si>
  <si>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</si>
  <si>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</si>
  <si>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</si>
  <si>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</si>
  <si>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</si>
  <si>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</si>
  <si>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</si>
  <si>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</si>
  <si>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</si>
  <si>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</si>
  <si>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</si>
  <si>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</si>
  <si>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</si>
  <si>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</t>
  </si>
  <si>
    <t>Refunds</t>
  </si>
  <si>
    <t>Total Income</t>
  </si>
  <si>
    <t>Cost of Goods</t>
  </si>
  <si>
    <t>Product Costs + Shipping</t>
  </si>
  <si>
    <t xml:space="preserve">Gross Profit </t>
  </si>
  <si>
    <t>Expenses</t>
  </si>
  <si>
    <t>TikTok</t>
  </si>
  <si>
    <t>Google</t>
  </si>
  <si>
    <t>Facebook</t>
  </si>
  <si>
    <t>Snapchat</t>
  </si>
  <si>
    <t>Pinterest</t>
  </si>
  <si>
    <t>Processing Fees</t>
  </si>
  <si>
    <t>Apps &amp; Software</t>
  </si>
  <si>
    <t>(Klaviyo, TripleWhale)</t>
  </si>
  <si>
    <t>Consultancy Agency</t>
  </si>
  <si>
    <t>Virtual Assistant(s)</t>
  </si>
  <si>
    <t>Email Agency</t>
  </si>
  <si>
    <t>Disputes &amp; Chargebacks</t>
  </si>
  <si>
    <t>Total Expenses</t>
  </si>
  <si>
    <t>Profit</t>
  </si>
  <si>
    <t>Net Profit</t>
  </si>
  <si>
    <t>Total Spent Per Traffic Source</t>
  </si>
  <si>
    <t>TIMELESS USA</t>
  </si>
  <si>
    <t>Total</t>
  </si>
  <si>
    <t>Total Net Profit</t>
  </si>
  <si>
    <t>Google Adwords</t>
  </si>
  <si>
    <t>Tiktok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</si>
</sst>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-409]&quot; &quot;#,##0.00"/>
    <numFmt numFmtId="165" formatCode="[$$]#,##0.00"/>
    <numFmt numFmtId="166" formatCode="[$$-409]&quot; &quot;#,##0"/>
  </numFmts>
  <fonts count="8">
    <font>
      <sz val="10.0"/>
      <color rgb="FF000000"/>
      <name val="Arial"/>
      <scheme val="minor"/>
    </font>
    <font>
      <b/>
      <sz val="12.0"/>
      <color rgb="FFFF9900"/>
      <name val="Montserrat"/>
    </font>
    <font>
      <color theme="1"/>
      <name val="Arial"/>
    </font>
    <font>
      <color theme="1"/>
      <name val="Montserrat"/>
    </font>
    <font>
      <b/>
      <color rgb="FFFFFFFF"/>
      <name val="Montserrat"/>
    </font>
    <font>
      <color rgb="FF303030"/>
      <name val="Montserrat"/>
    </font>
    <font>
      <b/>
      <color theme="1"/>
      <name val="Montserrat"/>
    </font>
    <font/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F7F7F7"/>
        <bgColor rgb="FFF7F7F7"/>
      </patternFill>
    </fill>
  </fills>
  <borders count="25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/>
      <bottom/>
    </border>
    <border>
      <left/>
      <right/>
      <top/>
      <bottom/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/>
      <top style="thin">
        <color rgb="FFAAAAAA"/>
      </top>
      <bottom/>
    </border>
    <border>
      <left style="thin">
        <color rgb="FFAAAAAA"/>
      </left>
      <right style="thin">
        <color rgb="FFAAAAAA"/>
      </right>
      <top/>
      <bottom/>
    </border>
    <border>
      <left style="thin">
        <color rgb="FFAAAAAA"/>
      </left>
      <right/>
      <top/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/>
      <right/>
      <top style="thin">
        <color rgb="FFAAAAAA"/>
      </top>
      <bottom style="thin">
        <color rgb="FFAAAAAA"/>
      </bottom>
    </border>
    <border>
      <left/>
      <right style="thin">
        <color rgb="FFAAAAAA"/>
      </right>
      <top style="thin">
        <color rgb="FFAAAAAA"/>
      </top>
      <bottom/>
    </border>
    <border>
      <left/>
      <right style="thin">
        <color rgb="FFAAAAAA"/>
      </right>
      <top/>
      <bottom/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top/>
      <bottom style="thin">
        <color rgb="FFAAAAAA"/>
      </bottom>
    </border>
    <border>
      <right style="thin">
        <color rgb="FFAAAAAA"/>
      </right>
      <top/>
      <bottom style="thin">
        <color rgb="FFAAAAAA"/>
      </bottom>
    </border>
    <border>
      <left/>
      <right/>
      <top/>
      <bottom style="thin">
        <color rgb="FFAAAAAA"/>
      </bottom>
    </border>
    <border>
      <left/>
      <right/>
      <top style="thin">
        <color rgb="FFAAAAAA"/>
      </top>
      <bottom/>
    </border>
    <border>
      <left style="thin">
        <color rgb="FFAAAAAA"/>
      </left>
      <right style="thin">
        <color rgb="FFAAAAAA"/>
      </right>
      <top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bottom/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2" fillId="2" fontId="3" numFmtId="0" xfId="0" applyAlignment="1" applyBorder="1" applyFont="1">
      <alignment horizontal="right" readingOrder="0" vertical="bottom"/>
    </xf>
    <xf borderId="0" fillId="0" fontId="2" numFmtId="0" xfId="0" applyAlignment="1" applyFont="1">
      <alignment vertical="bottom"/>
    </xf>
    <xf borderId="3" fillId="3" fontId="4" numFmtId="49" xfId="0" applyAlignment="1" applyBorder="1" applyFill="1" applyFont="1" applyNumberFormat="1">
      <alignment vertical="bottom"/>
    </xf>
    <xf borderId="4" fillId="3" fontId="4" numFmtId="49" xfId="0" applyAlignment="1" applyBorder="1" applyFont="1" applyNumberFormat="1">
      <alignment vertical="bottom"/>
    </xf>
    <xf borderId="4" fillId="4" fontId="2" numFmtId="49" xfId="0" applyAlignment="1" applyBorder="1" applyFill="1" applyFont="1" applyNumberFormat="1">
      <alignment vertical="bottom"/>
    </xf>
    <xf borderId="5" fillId="2" fontId="2" numFmtId="0" xfId="0" applyAlignment="1" applyBorder="1" applyFont="1">
      <alignment vertical="bottom"/>
    </xf>
    <xf borderId="6" fillId="2" fontId="3" numFmtId="49" xfId="0" applyAlignment="1" applyBorder="1" applyFont="1" applyNumberFormat="1">
      <alignment vertical="bottom"/>
    </xf>
    <xf borderId="7" fillId="2" fontId="3" numFmtId="164" xfId="0" applyAlignment="1" applyBorder="1" applyFont="1" applyNumberFormat="1">
      <alignment horizontal="right" readingOrder="0" vertical="bottom"/>
    </xf>
    <xf borderId="4" fillId="5" fontId="5" numFmtId="164" xfId="0" applyAlignment="1" applyBorder="1" applyFill="1" applyFont="1" applyNumberFormat="1">
      <alignment horizontal="right" readingOrder="0" vertical="bottom"/>
    </xf>
    <xf borderId="4" fillId="5" fontId="2" numFmtId="164" xfId="0" applyAlignment="1" applyBorder="1" applyFont="1" applyNumberFormat="1">
      <alignment readingOrder="0" vertical="bottom"/>
    </xf>
    <xf borderId="4" fillId="4" fontId="2" numFmtId="164" xfId="0" applyAlignment="1" applyBorder="1" applyFont="1" applyNumberFormat="1">
      <alignment horizontal="right" vertical="bottom"/>
    </xf>
    <xf borderId="2" fillId="2" fontId="3" numFmtId="49" xfId="0" applyAlignment="1" applyBorder="1" applyFont="1" applyNumberFormat="1">
      <alignment vertical="bottom"/>
    </xf>
    <xf borderId="3" fillId="4" fontId="6" numFmtId="49" xfId="0" applyAlignment="1" applyBorder="1" applyFont="1" applyNumberFormat="1">
      <alignment vertical="bottom"/>
    </xf>
    <xf borderId="4" fillId="4" fontId="3" numFmtId="164" xfId="0" applyAlignment="1" applyBorder="1" applyFont="1" applyNumberFormat="1">
      <alignment horizontal="right" vertical="bottom"/>
    </xf>
    <xf borderId="6" fillId="2" fontId="2" numFmtId="0" xfId="0" applyAlignment="1" applyBorder="1" applyFont="1">
      <alignment vertical="bottom"/>
    </xf>
    <xf borderId="6" fillId="4" fontId="2" numFmtId="0" xfId="0" applyAlignment="1" applyBorder="1" applyFont="1">
      <alignment vertical="bottom"/>
    </xf>
    <xf borderId="2" fillId="4" fontId="2" numFmtId="0" xfId="0" applyAlignment="1" applyBorder="1" applyFont="1">
      <alignment vertical="bottom"/>
    </xf>
    <xf borderId="3" fillId="2" fontId="3" numFmtId="49" xfId="0" applyAlignment="1" applyBorder="1" applyFont="1" applyNumberFormat="1">
      <alignment vertical="bottom"/>
    </xf>
    <xf borderId="4" fillId="2" fontId="3" numFmtId="164" xfId="0" applyAlignment="1" applyBorder="1" applyFont="1" applyNumberFormat="1">
      <alignment horizontal="right" readingOrder="0" vertical="bottom"/>
    </xf>
    <xf borderId="4" fillId="2" fontId="3" numFmtId="164" xfId="0" applyAlignment="1" applyBorder="1" applyFont="1" applyNumberFormat="1">
      <alignment horizontal="right" vertical="bottom"/>
    </xf>
    <xf borderId="4" fillId="4" fontId="6" numFmtId="164" xfId="0" applyAlignment="1" applyBorder="1" applyFont="1" applyNumberFormat="1">
      <alignment horizontal="right" vertical="bottom"/>
    </xf>
    <xf borderId="6" fillId="2" fontId="2" numFmtId="10" xfId="0" applyAlignment="1" applyBorder="1" applyFont="1" applyNumberFormat="1">
      <alignment vertical="bottom"/>
    </xf>
    <xf borderId="6" fillId="2" fontId="2" numFmtId="165" xfId="0" applyAlignment="1" applyBorder="1" applyFont="1" applyNumberFormat="1">
      <alignment vertical="bottom"/>
    </xf>
    <xf borderId="8" fillId="2" fontId="2" numFmtId="165" xfId="0" applyAlignment="1" applyBorder="1" applyFont="1" applyNumberFormat="1">
      <alignment readingOrder="0" vertical="bottom"/>
    </xf>
    <xf borderId="6" fillId="2" fontId="2" numFmtId="165" xfId="0" applyAlignment="1" applyBorder="1" applyFont="1" applyNumberFormat="1">
      <alignment readingOrder="0" vertical="bottom"/>
    </xf>
    <xf borderId="9" fillId="2" fontId="2" numFmtId="165" xfId="0" applyAlignment="1" applyBorder="1" applyFont="1" applyNumberFormat="1">
      <alignment vertical="bottom"/>
    </xf>
    <xf borderId="9" fillId="4" fontId="2" numFmtId="164" xfId="0" applyAlignment="1" applyBorder="1" applyFont="1" applyNumberFormat="1">
      <alignment vertical="bottom"/>
    </xf>
    <xf borderId="1" fillId="2" fontId="3" numFmtId="49" xfId="0" applyAlignment="1" applyBorder="1" applyFont="1" applyNumberFormat="1">
      <alignment vertical="bottom"/>
    </xf>
    <xf borderId="1" fillId="2" fontId="2" numFmtId="165" xfId="0" applyAlignment="1" applyBorder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10" fillId="2" fontId="2" numFmtId="165" xfId="0" applyAlignment="1" applyBorder="1" applyFont="1" applyNumberFormat="1">
      <alignment vertical="bottom"/>
    </xf>
    <xf borderId="4" fillId="2" fontId="2" numFmtId="165" xfId="0" applyAlignment="1" applyBorder="1" applyFont="1" applyNumberFormat="1">
      <alignment readingOrder="0" vertical="bottom"/>
    </xf>
    <xf borderId="5" fillId="2" fontId="2" numFmtId="165" xfId="0" applyAlignment="1" applyBorder="1" applyFont="1" applyNumberFormat="1">
      <alignment readingOrder="0" vertical="bottom"/>
    </xf>
    <xf borderId="10" fillId="2" fontId="2" numFmtId="165" xfId="0" applyAlignment="1" applyBorder="1" applyFont="1" applyNumberFormat="1">
      <alignment readingOrder="0" vertical="bottom"/>
    </xf>
    <xf borderId="10" fillId="4" fontId="2" numFmtId="164" xfId="0" applyAlignment="1" applyBorder="1" applyFont="1" applyNumberFormat="1">
      <alignment vertical="bottom"/>
    </xf>
    <xf borderId="1" fillId="2" fontId="2" numFmtId="165" xfId="0" applyAlignment="1" applyBorder="1" applyFont="1" applyNumberFormat="1">
      <alignment horizontal="right" readingOrder="0" vertical="bottom"/>
    </xf>
    <xf borderId="1" fillId="2" fontId="3" numFmtId="165" xfId="0" applyAlignment="1" applyBorder="1" applyFont="1" applyNumberFormat="1">
      <alignment horizontal="right" readingOrder="0" vertical="bottom"/>
    </xf>
    <xf borderId="1" fillId="2" fontId="3" numFmtId="165" xfId="0" applyAlignment="1" applyBorder="1" applyFont="1" applyNumberFormat="1">
      <alignment horizontal="right" vertical="bottom"/>
    </xf>
    <xf borderId="10" fillId="4" fontId="2" numFmtId="166" xfId="0" applyAlignment="1" applyBorder="1" applyFont="1" applyNumberFormat="1">
      <alignment vertical="bottom"/>
    </xf>
    <xf borderId="1" fillId="2" fontId="2" numFmtId="165" xfId="0" applyAlignment="1" applyBorder="1" applyFont="1" applyNumberFormat="1">
      <alignment vertical="bottom"/>
    </xf>
    <xf borderId="4" fillId="2" fontId="2" numFmtId="165" xfId="0" applyAlignment="1" applyBorder="1" applyFont="1" applyNumberFormat="1">
      <alignment vertical="bottom"/>
    </xf>
    <xf borderId="10" fillId="2" fontId="2" numFmtId="165" xfId="0" applyAlignment="1" applyBorder="1" applyFont="1" applyNumberFormat="1">
      <alignment horizontal="right" vertical="bottom"/>
    </xf>
    <xf borderId="7" fillId="4" fontId="2" numFmtId="164" xfId="0" applyAlignment="1" applyBorder="1" applyFont="1" applyNumberFormat="1">
      <alignment vertical="bottom"/>
    </xf>
    <xf borderId="11" fillId="2" fontId="2" numFmtId="165" xfId="0" applyAlignment="1" applyBorder="1" applyFont="1" applyNumberFormat="1">
      <alignment readingOrder="0" vertical="bottom"/>
    </xf>
    <xf borderId="4" fillId="4" fontId="2" numFmtId="164" xfId="0" applyAlignment="1" applyBorder="1" applyFont="1" applyNumberFormat="1">
      <alignment vertical="bottom"/>
    </xf>
    <xf borderId="5" fillId="2" fontId="2" numFmtId="165" xfId="0" applyAlignment="1" applyBorder="1" applyFont="1" applyNumberFormat="1">
      <alignment vertical="bottom"/>
    </xf>
    <xf borderId="1" fillId="2" fontId="3" numFmtId="164" xfId="0" applyAlignment="1" applyBorder="1" applyFont="1" applyNumberFormat="1">
      <alignment horizontal="right" vertical="bottom"/>
    </xf>
    <xf borderId="1" fillId="2" fontId="3" numFmtId="164" xfId="0" applyAlignment="1" applyBorder="1" applyFont="1" applyNumberFormat="1">
      <alignment horizontal="right" readingOrder="0" vertical="bottom"/>
    </xf>
    <xf borderId="8" fillId="2" fontId="2" numFmtId="165" xfId="0" applyAlignment="1" applyBorder="1" applyFont="1" applyNumberFormat="1">
      <alignment vertical="bottom"/>
    </xf>
    <xf borderId="2" fillId="2" fontId="2" numFmtId="165" xfId="0" applyAlignment="1" applyBorder="1" applyFont="1" applyNumberFormat="1">
      <alignment horizontal="right" vertical="bottom"/>
    </xf>
    <xf borderId="2" fillId="2" fontId="2" numFmtId="165" xfId="0" applyAlignment="1" applyBorder="1" applyFont="1" applyNumberFormat="1">
      <alignment vertical="bottom"/>
    </xf>
    <xf borderId="2" fillId="2" fontId="2" numFmtId="165" xfId="0" applyAlignment="1" applyBorder="1" applyFont="1" applyNumberFormat="1">
      <alignment readingOrder="0" vertical="bottom"/>
    </xf>
    <xf borderId="7" fillId="2" fontId="2" numFmtId="165" xfId="0" applyAlignment="1" applyBorder="1" applyFont="1" applyNumberFormat="1">
      <alignment readingOrder="0" vertical="bottom"/>
    </xf>
    <xf borderId="12" fillId="2" fontId="2" numFmtId="165" xfId="0" applyAlignment="1" applyBorder="1" applyFont="1" applyNumberFormat="1">
      <alignment readingOrder="0" vertical="bottom"/>
    </xf>
    <xf borderId="8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13" fillId="2" fontId="2" numFmtId="0" xfId="0" applyAlignment="1" applyBorder="1" applyFont="1">
      <alignment vertical="bottom"/>
    </xf>
    <xf borderId="8" fillId="4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4" fillId="2" fontId="2" numFmtId="0" xfId="0" applyAlignment="1" applyBorder="1" applyFont="1">
      <alignment vertical="bottom"/>
    </xf>
    <xf borderId="14" fillId="0" fontId="2" numFmtId="2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5" fillId="3" fontId="4" numFmtId="49" xfId="0" applyAlignment="1" applyBorder="1" applyFont="1" applyNumberFormat="1">
      <alignment vertical="bottom"/>
    </xf>
    <xf borderId="16" fillId="0" fontId="7" numFmtId="0" xfId="0" applyBorder="1" applyFont="1"/>
    <xf borderId="6" fillId="2" fontId="2" numFmtId="49" xfId="0" applyAlignment="1" applyBorder="1" applyFont="1" applyNumberFormat="1">
      <alignment vertical="bottom"/>
    </xf>
    <xf borderId="1" fillId="2" fontId="2" numFmtId="164" xfId="0" applyAlignment="1" applyBorder="1" applyFont="1" applyNumberFormat="1">
      <alignment vertical="bottom"/>
    </xf>
    <xf borderId="1" fillId="2" fontId="2" numFmtId="49" xfId="0" applyAlignment="1" applyBorder="1" applyFont="1" applyNumberFormat="1">
      <alignment vertical="bottom"/>
    </xf>
    <xf borderId="5" fillId="2" fontId="2" numFmtId="164" xfId="0" applyAlignment="1" applyBorder="1" applyFont="1" applyNumberFormat="1">
      <alignment vertical="bottom"/>
    </xf>
    <xf borderId="5" fillId="2" fontId="2" numFmtId="2" xfId="0" applyAlignment="1" applyBorder="1" applyFont="1" applyNumberFormat="1">
      <alignment vertical="bottom"/>
    </xf>
    <xf borderId="4" fillId="2" fontId="2" numFmtId="164" xfId="0" applyAlignment="1" applyBorder="1" applyFont="1" applyNumberFormat="1">
      <alignment vertical="bottom"/>
    </xf>
    <xf borderId="4" fillId="2" fontId="2" numFmtId="4" xfId="0" applyAlignment="1" applyBorder="1" applyFont="1" applyNumberFormat="1">
      <alignment vertical="bottom"/>
    </xf>
    <xf borderId="0" fillId="2" fontId="2" numFmtId="0" xfId="0" applyAlignment="1" applyFont="1">
      <alignment vertical="bottom"/>
    </xf>
    <xf borderId="2" fillId="2" fontId="3" numFmtId="0" xfId="0" applyAlignment="1" applyBorder="1" applyFont="1">
      <alignment horizontal="right" vertical="bottom"/>
    </xf>
    <xf borderId="4" fillId="3" fontId="4" numFmtId="49" xfId="0" applyAlignment="1" applyBorder="1" applyFont="1" applyNumberFormat="1">
      <alignment horizontal="right" vertical="bottom"/>
    </xf>
    <xf borderId="9" fillId="2" fontId="3" numFmtId="164" xfId="0" applyAlignment="1" applyBorder="1" applyFont="1" applyNumberFormat="1">
      <alignment horizontal="right" readingOrder="0" vertical="bottom"/>
    </xf>
    <xf borderId="17" fillId="2" fontId="3" numFmtId="164" xfId="0" applyAlignment="1" applyBorder="1" applyFont="1" applyNumberFormat="1">
      <alignment horizontal="right" readingOrder="0" vertical="bottom"/>
    </xf>
    <xf borderId="4" fillId="2" fontId="5" numFmtId="164" xfId="0" applyAlignment="1" applyBorder="1" applyFont="1" applyNumberFormat="1">
      <alignment horizontal="right" readingOrder="0" vertical="bottom"/>
    </xf>
    <xf borderId="18" fillId="2" fontId="3" numFmtId="164" xfId="0" applyAlignment="1" applyBorder="1" applyFont="1" applyNumberFormat="1">
      <alignment horizontal="right" readingOrder="0" vertical="bottom"/>
    </xf>
    <xf borderId="6" fillId="2" fontId="3" numFmtId="164" xfId="0" applyAlignment="1" applyBorder="1" applyFont="1" applyNumberFormat="1">
      <alignment horizontal="right" vertical="bottom"/>
    </xf>
    <xf borderId="5" fillId="2" fontId="3" numFmtId="164" xfId="0" applyAlignment="1" applyBorder="1" applyFont="1" applyNumberFormat="1">
      <alignment horizontal="right" vertical="bottom"/>
    </xf>
    <xf borderId="6" fillId="2" fontId="2" numFmtId="164" xfId="0" applyAlignment="1" applyBorder="1" applyFont="1" applyNumberFormat="1">
      <alignment vertical="bottom"/>
    </xf>
    <xf borderId="6" fillId="2" fontId="2" numFmtId="164" xfId="0" applyAlignment="1" applyBorder="1" applyFont="1" applyNumberFormat="1">
      <alignment readingOrder="0" vertical="bottom"/>
    </xf>
    <xf borderId="8" fillId="2" fontId="3" numFmtId="164" xfId="0" applyAlignment="1" applyBorder="1" applyFont="1" applyNumberFormat="1">
      <alignment horizontal="right" vertical="bottom"/>
    </xf>
    <xf borderId="6" fillId="2" fontId="3" numFmtId="164" xfId="0" applyAlignment="1" applyBorder="1" applyFont="1" applyNumberFormat="1">
      <alignment horizontal="right" readingOrder="0" vertical="bottom"/>
    </xf>
    <xf borderId="9" fillId="2" fontId="2" numFmtId="164" xfId="0" applyAlignment="1" applyBorder="1" applyFont="1" applyNumberFormat="1">
      <alignment vertical="bottom"/>
    </xf>
    <xf borderId="1" fillId="2" fontId="2" numFmtId="164" xfId="0" applyAlignment="1" applyBorder="1" applyFont="1" applyNumberFormat="1">
      <alignment readingOrder="0" vertical="bottom"/>
    </xf>
    <xf borderId="10" fillId="2" fontId="3" numFmtId="164" xfId="0" applyAlignment="1" applyBorder="1" applyFont="1" applyNumberFormat="1">
      <alignment horizontal="right" readingOrder="0" vertical="bottom"/>
    </xf>
    <xf borderId="5" fillId="2" fontId="3" numFmtId="164" xfId="0" applyAlignment="1" applyBorder="1" applyFont="1" applyNumberFormat="1">
      <alignment horizontal="right" readingOrder="0" vertical="bottom"/>
    </xf>
    <xf borderId="5" fillId="2" fontId="3" numFmtId="166" xfId="0" applyAlignment="1" applyBorder="1" applyFont="1" applyNumberFormat="1">
      <alignment horizontal="right" readingOrder="0" vertical="bottom"/>
    </xf>
    <xf borderId="10" fillId="2" fontId="3" numFmtId="166" xfId="0" applyAlignment="1" applyBorder="1" applyFont="1" applyNumberFormat="1">
      <alignment horizontal="right" readingOrder="0" vertical="bottom"/>
    </xf>
    <xf borderId="10" fillId="2" fontId="2" numFmtId="164" xfId="0" applyAlignment="1" applyBorder="1" applyFont="1" applyNumberFormat="1">
      <alignment vertical="bottom"/>
    </xf>
    <xf borderId="2" fillId="2" fontId="2" numFmtId="164" xfId="0" applyAlignment="1" applyBorder="1" applyFont="1" applyNumberFormat="1">
      <alignment vertical="bottom"/>
    </xf>
    <xf borderId="11" fillId="2" fontId="3" numFmtId="164" xfId="0" applyAlignment="1" applyBorder="1" applyFont="1" applyNumberFormat="1">
      <alignment horizontal="right" readingOrder="0" vertical="bottom"/>
    </xf>
    <xf borderId="8" fillId="2" fontId="2" numFmtId="164" xfId="0" applyAlignment="1" applyBorder="1" applyFont="1" applyNumberFormat="1">
      <alignment vertical="bottom"/>
    </xf>
    <xf borderId="2" fillId="2" fontId="2" numFmtId="164" xfId="0" applyAlignment="1" applyBorder="1" applyFont="1" applyNumberFormat="1">
      <alignment readingOrder="0" vertical="bottom"/>
    </xf>
    <xf borderId="2" fillId="2" fontId="3" numFmtId="164" xfId="0" applyAlignment="1" applyBorder="1" applyFont="1" applyNumberFormat="1">
      <alignment horizontal="right" readingOrder="0" vertical="bottom"/>
    </xf>
    <xf borderId="4" fillId="5" fontId="2" numFmtId="164" xfId="0" applyAlignment="1" applyBorder="1" applyFont="1" applyNumberFormat="1">
      <alignment horizontal="right" readingOrder="0" vertical="bottom"/>
    </xf>
    <xf borderId="7" fillId="2" fontId="2" numFmtId="164" xfId="0" applyAlignment="1" applyBorder="1" applyFont="1" applyNumberFormat="1">
      <alignment readingOrder="0" vertical="bottom"/>
    </xf>
    <xf borderId="4" fillId="2" fontId="2" numFmtId="164" xfId="0" applyAlignment="1" applyBorder="1" applyFont="1" applyNumberFormat="1">
      <alignment readingOrder="0" vertical="bottom"/>
    </xf>
    <xf borderId="19" fillId="2" fontId="2" numFmtId="165" xfId="0" applyAlignment="1" applyBorder="1" applyFont="1" applyNumberFormat="1">
      <alignment vertical="bottom"/>
    </xf>
    <xf borderId="0" fillId="0" fontId="2" numFmtId="165" xfId="0" applyAlignment="1" applyFont="1" applyNumberFormat="1">
      <alignment horizontal="right" readingOrder="0" vertical="bottom"/>
    </xf>
    <xf borderId="20" fillId="2" fontId="2" numFmtId="165" xfId="0" applyAlignment="1" applyBorder="1" applyFont="1" applyNumberFormat="1">
      <alignment readingOrder="0" vertical="bottom"/>
    </xf>
    <xf borderId="21" fillId="2" fontId="2" numFmtId="165" xfId="0" applyAlignment="1" applyBorder="1" applyFont="1" applyNumberFormat="1">
      <alignment readingOrder="0" vertical="bottom"/>
    </xf>
    <xf borderId="22" fillId="2" fontId="2" numFmtId="165" xfId="0" applyAlignment="1" applyBorder="1" applyFont="1" applyNumberFormat="1">
      <alignment readingOrder="0" vertical="bottom"/>
    </xf>
    <xf borderId="21" fillId="2" fontId="2" numFmtId="165" xfId="0" applyAlignment="1" applyBorder="1" applyFont="1" applyNumberFormat="1">
      <alignment vertical="bottom"/>
    </xf>
    <xf borderId="1" fillId="2" fontId="2" numFmtId="165" xfId="0" applyAlignment="1" applyBorder="1" applyFont="1" applyNumberFormat="1">
      <alignment readingOrder="0" vertical="bottom"/>
    </xf>
    <xf borderId="20" fillId="2" fontId="2" numFmtId="165" xfId="0" applyAlignment="1" applyBorder="1" applyFont="1" applyNumberFormat="1">
      <alignment vertical="bottom"/>
    </xf>
    <xf borderId="6" fillId="2" fontId="2" numFmtId="165" xfId="0" applyAlignment="1" applyBorder="1" applyFont="1" applyNumberFormat="1">
      <alignment horizontal="right" readingOrder="0" vertical="bottom"/>
    </xf>
    <xf borderId="23" fillId="2" fontId="2" numFmtId="165" xfId="0" applyAlignment="1" applyBorder="1" applyFont="1" applyNumberFormat="1">
      <alignment readingOrder="0" vertical="bottom"/>
    </xf>
    <xf borderId="22" fillId="2" fontId="2" numFmtId="165" xfId="0" applyAlignment="1" applyBorder="1" applyFont="1" applyNumberFormat="1">
      <alignment vertical="bottom"/>
    </xf>
    <xf borderId="24" fillId="2" fontId="2" numFmtId="165" xfId="0" applyAlignment="1" applyBorder="1" applyFont="1" applyNumberFormat="1">
      <alignment vertical="bottom"/>
    </xf>
    <xf borderId="2" fillId="2" fontId="2" numFmtId="165" xfId="0" applyAlignment="1" applyBorder="1" applyFont="1" applyNumberFormat="1">
      <alignment horizontal="right" readingOrder="0" vertical="bottom"/>
    </xf>
    <xf borderId="12" fillId="2" fontId="2" numFmtId="165" xfId="0" applyAlignment="1" applyBorder="1" applyFont="1" applyNumberFormat="1">
      <alignment vertical="bottom"/>
    </xf>
    <xf borderId="7" fillId="2" fontId="2" numFmtId="165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3"/>
      <c r="B3" s="4">
        <v>2023.0</v>
      </c>
      <c r="C3" s="4">
        <v>2023.0</v>
      </c>
      <c r="D3" s="4">
        <v>2023.0</v>
      </c>
      <c r="E3" s="4">
        <v>2023.0</v>
      </c>
      <c r="F3" s="4">
        <v>2023.0</v>
      </c>
      <c r="G3" s="4">
        <v>2023.0</v>
      </c>
      <c r="H3" s="4">
        <v>2023.0</v>
      </c>
      <c r="I3" s="4">
        <v>2023.0</v>
      </c>
      <c r="J3" s="4">
        <v>2023.0</v>
      </c>
      <c r="K3" s="4">
        <v>2023.0</v>
      </c>
      <c r="L3" s="4">
        <v>2023.0</v>
      </c>
      <c r="M3" s="4">
        <v>2023.0</v>
      </c>
      <c r="N3" s="2"/>
      <c r="O3" s="5"/>
      <c r="P3" s="5"/>
      <c r="Q3" s="5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8"/>
      <c r="O4" s="5"/>
      <c r="P4" s="5"/>
      <c r="Q4" s="5"/>
      <c r="R4" s="9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0" t="s">
        <v>14</v>
      </c>
      <c r="B5" s="11">
        <v>0.0</v>
      </c>
      <c r="C5" s="11">
        <v>0.0</v>
      </c>
      <c r="D5" s="11">
        <v>0.0</v>
      </c>
      <c r="E5" s="11">
        <v>0.0</v>
      </c>
      <c r="F5" s="11">
        <v>0.0</v>
      </c>
      <c r="G5" s="11">
        <v>0.0</v>
      </c>
      <c r="H5" s="12">
        <v>4222.0</v>
      </c>
      <c r="I5" s="12">
        <v>59195.0</v>
      </c>
      <c r="J5" s="12">
        <v>103179.0</v>
      </c>
      <c r="K5" s="13">
        <v>162079.0</v>
      </c>
      <c r="L5" s="13">
        <v>137575.0</v>
      </c>
      <c r="M5" s="13">
        <v>157780.0</v>
      </c>
      <c r="N5" s="14">
        <f t="shared" ref="N5:N7" si="1">SUM(B5:M5)</f>
        <v>624030</v>
      </c>
      <c r="O5" s="5"/>
      <c r="P5" s="5"/>
      <c r="Q5" s="5"/>
      <c r="R5" s="9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5" t="s">
        <v>15</v>
      </c>
      <c r="B6" s="11">
        <v>0.0</v>
      </c>
      <c r="C6" s="11">
        <v>0.0</v>
      </c>
      <c r="D6" s="11">
        <v>0.0</v>
      </c>
      <c r="E6" s="11">
        <v>0.0</v>
      </c>
      <c r="F6" s="11">
        <v>0.0</v>
      </c>
      <c r="G6" s="11">
        <v>0.0</v>
      </c>
      <c r="H6" s="11">
        <v>0.0</v>
      </c>
      <c r="I6" s="11">
        <v>0.0</v>
      </c>
      <c r="J6" s="11">
        <v>0.0</v>
      </c>
      <c r="K6" s="11">
        <v>619.38</v>
      </c>
      <c r="L6" s="11">
        <v>827.17</v>
      </c>
      <c r="M6" s="11">
        <v>361.01</v>
      </c>
      <c r="N6" s="14">
        <f t="shared" si="1"/>
        <v>1807.56</v>
      </c>
      <c r="O6" s="5"/>
      <c r="P6" s="5"/>
      <c r="Q6" s="5"/>
      <c r="R6" s="9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16" t="s">
        <v>16</v>
      </c>
      <c r="B7" s="17">
        <f t="shared" ref="B7:M7" si="2">B5-B6</f>
        <v>0</v>
      </c>
      <c r="C7" s="17">
        <f t="shared" si="2"/>
        <v>0</v>
      </c>
      <c r="D7" s="17">
        <f t="shared" si="2"/>
        <v>0</v>
      </c>
      <c r="E7" s="17">
        <f t="shared" si="2"/>
        <v>0</v>
      </c>
      <c r="F7" s="17">
        <f t="shared" si="2"/>
        <v>0</v>
      </c>
      <c r="G7" s="17">
        <f t="shared" si="2"/>
        <v>0</v>
      </c>
      <c r="H7" s="17">
        <f t="shared" si="2"/>
        <v>4222</v>
      </c>
      <c r="I7" s="17">
        <f t="shared" si="2"/>
        <v>59195</v>
      </c>
      <c r="J7" s="17">
        <f t="shared" si="2"/>
        <v>103179</v>
      </c>
      <c r="K7" s="17">
        <f t="shared" si="2"/>
        <v>161459.62</v>
      </c>
      <c r="L7" s="17">
        <f t="shared" si="2"/>
        <v>136747.83</v>
      </c>
      <c r="M7" s="17">
        <f t="shared" si="2"/>
        <v>157418.99</v>
      </c>
      <c r="N7" s="14">
        <f t="shared" si="1"/>
        <v>622222.44</v>
      </c>
      <c r="O7" s="5"/>
      <c r="P7" s="5"/>
      <c r="Q7" s="5"/>
      <c r="R7" s="9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9"/>
      <c r="O8" s="5"/>
      <c r="P8" s="5"/>
      <c r="Q8" s="5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3"/>
      <c r="B9" s="4">
        <v>2023.0</v>
      </c>
      <c r="C9" s="4">
        <v>2023.0</v>
      </c>
      <c r="D9" s="4">
        <v>2023.0</v>
      </c>
      <c r="E9" s="4">
        <v>2023.0</v>
      </c>
      <c r="F9" s="4">
        <v>2023.0</v>
      </c>
      <c r="G9" s="4">
        <v>2023.0</v>
      </c>
      <c r="H9" s="4">
        <v>2023.0</v>
      </c>
      <c r="I9" s="4">
        <v>2023.0</v>
      </c>
      <c r="J9" s="4">
        <v>2023.0</v>
      </c>
      <c r="K9" s="4">
        <v>2023.0</v>
      </c>
      <c r="L9" s="4">
        <v>2023.0</v>
      </c>
      <c r="M9" s="4">
        <v>2023.0</v>
      </c>
      <c r="N9" s="20"/>
      <c r="O9" s="5"/>
      <c r="P9" s="5"/>
      <c r="Q9" s="5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6" t="s">
        <v>17</v>
      </c>
      <c r="B10" s="7" t="s">
        <v>2</v>
      </c>
      <c r="C10" s="7" t="s">
        <v>3</v>
      </c>
      <c r="D10" s="7" t="s">
        <v>4</v>
      </c>
      <c r="E10" s="7" t="s">
        <v>5</v>
      </c>
      <c r="F10" s="7" t="s">
        <v>6</v>
      </c>
      <c r="G10" s="7" t="s">
        <v>7</v>
      </c>
      <c r="H10" s="7" t="s">
        <v>8</v>
      </c>
      <c r="I10" s="7" t="s">
        <v>9</v>
      </c>
      <c r="J10" s="7" t="s">
        <v>10</v>
      </c>
      <c r="K10" s="7" t="s">
        <v>11</v>
      </c>
      <c r="L10" s="7" t="s">
        <v>12</v>
      </c>
      <c r="M10" s="7" t="s">
        <v>13</v>
      </c>
      <c r="N10" s="8"/>
      <c r="O10" s="5"/>
      <c r="P10" s="5"/>
      <c r="Q10" s="5"/>
      <c r="R10" s="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1" t="s">
        <v>18</v>
      </c>
      <c r="B11" s="22"/>
      <c r="C11" s="22"/>
      <c r="D11" s="22"/>
      <c r="E11" s="23"/>
      <c r="F11" s="23"/>
      <c r="G11" s="23"/>
      <c r="H11" s="22">
        <v>717.74</v>
      </c>
      <c r="I11" s="22">
        <v>10063.150000000001</v>
      </c>
      <c r="J11" s="22">
        <v>17540.43</v>
      </c>
      <c r="K11" s="22">
        <v>27553.43</v>
      </c>
      <c r="L11" s="22">
        <v>23387.75</v>
      </c>
      <c r="M11" s="22">
        <v>26822.600000000002</v>
      </c>
      <c r="N11" s="14">
        <f t="shared" ref="N11:N12" si="4">SUM(B11:M11)</f>
        <v>106085.1</v>
      </c>
      <c r="O11" s="5"/>
      <c r="P11" s="5"/>
      <c r="Q11" s="5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16" t="s">
        <v>19</v>
      </c>
      <c r="B12" s="24">
        <f t="shared" ref="B12:M12" si="3">B7-B11</f>
        <v>0</v>
      </c>
      <c r="C12" s="24">
        <f t="shared" si="3"/>
        <v>0</v>
      </c>
      <c r="D12" s="24">
        <f t="shared" si="3"/>
        <v>0</v>
      </c>
      <c r="E12" s="24">
        <f t="shared" si="3"/>
        <v>0</v>
      </c>
      <c r="F12" s="24">
        <f t="shared" si="3"/>
        <v>0</v>
      </c>
      <c r="G12" s="24">
        <f t="shared" si="3"/>
        <v>0</v>
      </c>
      <c r="H12" s="24">
        <f t="shared" si="3"/>
        <v>3504.26</v>
      </c>
      <c r="I12" s="24">
        <f t="shared" si="3"/>
        <v>49131.85</v>
      </c>
      <c r="J12" s="24">
        <f t="shared" si="3"/>
        <v>85638.57</v>
      </c>
      <c r="K12" s="24">
        <f t="shared" si="3"/>
        <v>133906.19</v>
      </c>
      <c r="L12" s="24">
        <f t="shared" si="3"/>
        <v>113360.08</v>
      </c>
      <c r="M12" s="24">
        <f t="shared" si="3"/>
        <v>130596.39</v>
      </c>
      <c r="N12" s="14">
        <f t="shared" si="4"/>
        <v>516137.34</v>
      </c>
      <c r="O12" s="5"/>
      <c r="P12" s="5"/>
      <c r="Q12" s="5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18"/>
      <c r="B13" s="25"/>
      <c r="C13" s="25"/>
      <c r="D13" s="25"/>
      <c r="E13" s="25"/>
      <c r="F13" s="25"/>
      <c r="G13" s="25"/>
      <c r="H13" s="25"/>
      <c r="I13" s="25"/>
      <c r="J13" s="18"/>
      <c r="K13" s="18"/>
      <c r="L13" s="18"/>
      <c r="M13" s="18"/>
      <c r="N13" s="19"/>
      <c r="O13" s="5"/>
      <c r="P13" s="5"/>
      <c r="Q13" s="5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3"/>
      <c r="B14" s="4">
        <v>2023.0</v>
      </c>
      <c r="C14" s="4">
        <v>2023.0</v>
      </c>
      <c r="D14" s="4">
        <v>2023.0</v>
      </c>
      <c r="E14" s="4">
        <v>2023.0</v>
      </c>
      <c r="F14" s="4">
        <v>2023.0</v>
      </c>
      <c r="G14" s="4">
        <v>2023.0</v>
      </c>
      <c r="H14" s="4">
        <v>2023.0</v>
      </c>
      <c r="I14" s="4">
        <v>2023.0</v>
      </c>
      <c r="J14" s="4">
        <v>2023.0</v>
      </c>
      <c r="K14" s="4">
        <v>2023.0</v>
      </c>
      <c r="L14" s="4">
        <v>2023.0</v>
      </c>
      <c r="M14" s="4">
        <v>2023.0</v>
      </c>
      <c r="N14" s="20"/>
      <c r="O14" s="5"/>
      <c r="P14" s="5"/>
      <c r="Q14" s="5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6" t="s">
        <v>20</v>
      </c>
      <c r="B15" s="7" t="s">
        <v>2</v>
      </c>
      <c r="C15" s="7" t="s">
        <v>3</v>
      </c>
      <c r="D15" s="7" t="s">
        <v>4</v>
      </c>
      <c r="E15" s="7" t="s">
        <v>5</v>
      </c>
      <c r="F15" s="7" t="s">
        <v>6</v>
      </c>
      <c r="G15" s="7" t="s">
        <v>7</v>
      </c>
      <c r="H15" s="7" t="s">
        <v>8</v>
      </c>
      <c r="I15" s="7" t="s">
        <v>9</v>
      </c>
      <c r="J15" s="7" t="s">
        <v>10</v>
      </c>
      <c r="K15" s="7" t="s">
        <v>11</v>
      </c>
      <c r="L15" s="7" t="s">
        <v>12</v>
      </c>
      <c r="M15" s="7" t="s">
        <v>13</v>
      </c>
      <c r="N15" s="8"/>
      <c r="O15" s="5"/>
      <c r="P15" s="5"/>
      <c r="Q15" s="5"/>
      <c r="R15" s="9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10" t="s">
        <v>21</v>
      </c>
      <c r="B16" s="26"/>
      <c r="C16" s="26"/>
      <c r="D16" s="26"/>
      <c r="E16" s="26"/>
      <c r="F16" s="26"/>
      <c r="G16" s="26"/>
      <c r="H16" s="26"/>
      <c r="I16" s="26"/>
      <c r="J16" s="26"/>
      <c r="K16" s="27">
        <v>1278.0</v>
      </c>
      <c r="L16" s="28">
        <v>0.0</v>
      </c>
      <c r="M16" s="29"/>
      <c r="N16" s="30"/>
      <c r="O16" s="5"/>
      <c r="P16" s="5"/>
      <c r="Q16" s="5"/>
      <c r="R16" s="9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31" t="s">
        <v>22</v>
      </c>
      <c r="B17" s="32"/>
      <c r="C17" s="32"/>
      <c r="D17" s="32"/>
      <c r="E17" s="32"/>
      <c r="F17" s="32"/>
      <c r="G17" s="33"/>
      <c r="H17" s="32"/>
      <c r="I17" s="32"/>
      <c r="J17" s="34"/>
      <c r="K17" s="35">
        <v>16.0</v>
      </c>
      <c r="L17" s="36">
        <v>3004.0</v>
      </c>
      <c r="M17" s="37">
        <v>3168.0</v>
      </c>
      <c r="N17" s="38"/>
      <c r="O17" s="5"/>
      <c r="P17" s="5"/>
      <c r="Q17" s="5"/>
      <c r="R17" s="9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31" t="s">
        <v>23</v>
      </c>
      <c r="B18" s="39"/>
      <c r="C18" s="40"/>
      <c r="D18" s="40"/>
      <c r="E18" s="41"/>
      <c r="F18" s="32"/>
      <c r="G18" s="33"/>
      <c r="H18" s="39">
        <v>2959.0</v>
      </c>
      <c r="I18" s="40">
        <v>25759.0</v>
      </c>
      <c r="J18" s="40">
        <v>56222.0</v>
      </c>
      <c r="K18" s="35">
        <v>79920.0</v>
      </c>
      <c r="L18" s="36">
        <v>75905.0</v>
      </c>
      <c r="M18" s="37">
        <v>70550.0</v>
      </c>
      <c r="N18" s="42"/>
      <c r="O18" s="5"/>
      <c r="P18" s="5"/>
      <c r="Q18" s="5"/>
      <c r="R18" s="9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31" t="s">
        <v>24</v>
      </c>
      <c r="B19" s="43"/>
      <c r="C19" s="43"/>
      <c r="D19" s="43"/>
      <c r="E19" s="43"/>
      <c r="F19" s="43"/>
      <c r="G19" s="43"/>
      <c r="H19" s="43"/>
      <c r="I19" s="43"/>
      <c r="J19" s="43"/>
      <c r="K19" s="26"/>
      <c r="L19" s="43"/>
      <c r="M19" s="34"/>
      <c r="N19" s="38"/>
      <c r="O19" s="5"/>
      <c r="P19" s="5"/>
      <c r="Q19" s="5"/>
      <c r="R19" s="9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31" t="s">
        <v>25</v>
      </c>
      <c r="B20" s="43"/>
      <c r="C20" s="43"/>
      <c r="D20" s="43"/>
      <c r="E20" s="43"/>
      <c r="F20" s="43"/>
      <c r="G20" s="43"/>
      <c r="H20" s="43"/>
      <c r="I20" s="43"/>
      <c r="J20" s="43"/>
      <c r="K20" s="44"/>
      <c r="L20" s="43"/>
      <c r="M20" s="34"/>
      <c r="N20" s="38"/>
      <c r="O20" s="5"/>
      <c r="P20" s="5"/>
      <c r="Q20" s="5"/>
      <c r="R20" s="9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31" t="s">
        <v>26</v>
      </c>
      <c r="B21" s="39"/>
      <c r="C21" s="39"/>
      <c r="D21" s="39"/>
      <c r="E21" s="32"/>
      <c r="F21" s="32"/>
      <c r="G21" s="45"/>
      <c r="H21" s="39">
        <v>168.88</v>
      </c>
      <c r="I21" s="39">
        <v>2367.8</v>
      </c>
      <c r="J21" s="39">
        <v>4127.16</v>
      </c>
      <c r="K21" s="39">
        <v>6483.16</v>
      </c>
      <c r="L21" s="39">
        <v>5503.0</v>
      </c>
      <c r="M21" s="39">
        <v>6311.2</v>
      </c>
      <c r="N21" s="46"/>
      <c r="O21" s="5"/>
      <c r="P21" s="5"/>
      <c r="Q21" s="5"/>
      <c r="R21" s="9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31" t="s">
        <v>27</v>
      </c>
      <c r="B22" s="41"/>
      <c r="C22" s="40"/>
      <c r="D22" s="40"/>
      <c r="E22" s="41"/>
      <c r="F22" s="32"/>
      <c r="G22" s="32"/>
      <c r="H22" s="41"/>
      <c r="I22" s="40">
        <v>87.75</v>
      </c>
      <c r="J22" s="40">
        <v>156.61</v>
      </c>
      <c r="K22" s="35">
        <v>224.16</v>
      </c>
      <c r="L22" s="47">
        <v>448.87</v>
      </c>
      <c r="M22" s="35">
        <v>523.85</v>
      </c>
      <c r="N22" s="48"/>
      <c r="O22" s="5"/>
      <c r="P22" s="5"/>
      <c r="Q22" s="5"/>
      <c r="R22" s="9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31" t="s">
        <v>28</v>
      </c>
      <c r="B23" s="43"/>
      <c r="C23" s="43"/>
      <c r="D23" s="43"/>
      <c r="E23" s="43"/>
      <c r="F23" s="43"/>
      <c r="G23" s="43"/>
      <c r="H23" s="43"/>
      <c r="I23" s="43"/>
      <c r="J23" s="34"/>
      <c r="K23" s="44"/>
      <c r="L23" s="49"/>
      <c r="M23" s="29"/>
      <c r="N23" s="30"/>
      <c r="O23" s="5"/>
      <c r="P23" s="5"/>
      <c r="Q23" s="5"/>
      <c r="R23" s="9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31" t="s">
        <v>29</v>
      </c>
      <c r="B24" s="43"/>
      <c r="C24" s="43"/>
      <c r="D24" s="43"/>
      <c r="E24" s="43"/>
      <c r="F24" s="43"/>
      <c r="G24" s="43"/>
      <c r="H24" s="43"/>
      <c r="I24" s="43"/>
      <c r="J24" s="34"/>
      <c r="K24" s="44"/>
      <c r="L24" s="49"/>
      <c r="M24" s="34"/>
      <c r="N24" s="38"/>
      <c r="O24" s="5"/>
      <c r="P24" s="5"/>
      <c r="Q24" s="5"/>
      <c r="R24" s="9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31" t="s">
        <v>30</v>
      </c>
      <c r="B25" s="50"/>
      <c r="C25" s="50"/>
      <c r="D25" s="50"/>
      <c r="E25" s="50"/>
      <c r="F25" s="50"/>
      <c r="G25" s="50"/>
      <c r="H25" s="51">
        <v>50.0</v>
      </c>
      <c r="I25" s="51">
        <v>50.0</v>
      </c>
      <c r="J25" s="51">
        <v>50.0</v>
      </c>
      <c r="K25" s="51">
        <v>200.0</v>
      </c>
      <c r="L25" s="51">
        <v>200.0</v>
      </c>
      <c r="M25" s="51">
        <v>200.0</v>
      </c>
      <c r="N25" s="38"/>
      <c r="O25" s="5"/>
      <c r="P25" s="5"/>
      <c r="Q25" s="5"/>
      <c r="R25" s="9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31" t="s">
        <v>31</v>
      </c>
      <c r="B26" s="43"/>
      <c r="C26" s="43"/>
      <c r="D26" s="43"/>
      <c r="E26" s="43"/>
      <c r="F26" s="43"/>
      <c r="G26" s="43"/>
      <c r="H26" s="43"/>
      <c r="I26" s="43"/>
      <c r="J26" s="43"/>
      <c r="K26" s="52"/>
      <c r="L26" s="43"/>
      <c r="M26" s="34"/>
      <c r="N26" s="38"/>
      <c r="O26" s="5"/>
      <c r="P26" s="5"/>
      <c r="Q26" s="5"/>
      <c r="R26" s="9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15" t="s">
        <v>32</v>
      </c>
      <c r="B27" s="53"/>
      <c r="C27" s="53"/>
      <c r="D27" s="53"/>
      <c r="E27" s="53"/>
      <c r="F27" s="53"/>
      <c r="G27" s="54"/>
      <c r="H27" s="55">
        <v>0.0</v>
      </c>
      <c r="I27" s="55">
        <v>0.0</v>
      </c>
      <c r="J27" s="56">
        <v>0.0</v>
      </c>
      <c r="K27" s="35">
        <v>342.43</v>
      </c>
      <c r="L27" s="57">
        <v>1799.0</v>
      </c>
      <c r="M27" s="56">
        <v>850.0</v>
      </c>
      <c r="N27" s="46"/>
      <c r="O27" s="5"/>
      <c r="P27" s="5"/>
      <c r="Q27" s="5"/>
      <c r="R27" s="9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16" t="s">
        <v>33</v>
      </c>
      <c r="B28" s="24">
        <f t="shared" ref="B28:M28" si="5">SUM(B16:B27)</f>
        <v>0</v>
      </c>
      <c r="C28" s="24">
        <f t="shared" si="5"/>
        <v>0</v>
      </c>
      <c r="D28" s="24">
        <f t="shared" si="5"/>
        <v>0</v>
      </c>
      <c r="E28" s="24">
        <f t="shared" si="5"/>
        <v>0</v>
      </c>
      <c r="F28" s="24">
        <f t="shared" si="5"/>
        <v>0</v>
      </c>
      <c r="G28" s="24">
        <f t="shared" si="5"/>
        <v>0</v>
      </c>
      <c r="H28" s="24">
        <f t="shared" si="5"/>
        <v>3177.88</v>
      </c>
      <c r="I28" s="24">
        <f t="shared" si="5"/>
        <v>28264.55</v>
      </c>
      <c r="J28" s="24">
        <f t="shared" si="5"/>
        <v>60555.77</v>
      </c>
      <c r="K28" s="24">
        <f t="shared" si="5"/>
        <v>88463.75</v>
      </c>
      <c r="L28" s="24">
        <f t="shared" si="5"/>
        <v>86859.87</v>
      </c>
      <c r="M28" s="24">
        <f t="shared" si="5"/>
        <v>81603.05</v>
      </c>
      <c r="N28" s="14">
        <f>SUM(B28:M28)</f>
        <v>348924.87</v>
      </c>
      <c r="O28" s="5"/>
      <c r="P28" s="5"/>
      <c r="Q28" s="5"/>
      <c r="R28" s="9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58"/>
      <c r="B29" s="58"/>
      <c r="C29" s="58"/>
      <c r="D29" s="59"/>
      <c r="E29" s="60"/>
      <c r="F29" s="60"/>
      <c r="G29" s="60"/>
      <c r="H29" s="60"/>
      <c r="I29" s="60"/>
      <c r="J29" s="61"/>
      <c r="K29" s="58"/>
      <c r="L29" s="58"/>
      <c r="M29" s="58"/>
      <c r="N29" s="62"/>
      <c r="O29" s="5"/>
      <c r="P29" s="5"/>
      <c r="Q29" s="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6" t="s">
        <v>34</v>
      </c>
      <c r="B30" s="7" t="s">
        <v>2</v>
      </c>
      <c r="C30" s="7" t="s">
        <v>3</v>
      </c>
      <c r="D30" s="7" t="s">
        <v>4</v>
      </c>
      <c r="E30" s="7" t="s">
        <v>5</v>
      </c>
      <c r="F30" s="7" t="s">
        <v>6</v>
      </c>
      <c r="G30" s="7" t="s">
        <v>7</v>
      </c>
      <c r="H30" s="7" t="s">
        <v>8</v>
      </c>
      <c r="I30" s="7" t="s">
        <v>9</v>
      </c>
      <c r="J30" s="7" t="s">
        <v>10</v>
      </c>
      <c r="K30" s="7" t="s">
        <v>11</v>
      </c>
      <c r="L30" s="7" t="s">
        <v>12</v>
      </c>
      <c r="M30" s="7" t="s">
        <v>13</v>
      </c>
      <c r="N30" s="8"/>
      <c r="O30" s="5"/>
      <c r="P30" s="5"/>
      <c r="Q30" s="5"/>
      <c r="R30" s="9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16" t="s">
        <v>35</v>
      </c>
      <c r="B31" s="24">
        <f t="shared" ref="B31:M31" si="6">B7-B11-B28</f>
        <v>0</v>
      </c>
      <c r="C31" s="24">
        <f t="shared" si="6"/>
        <v>0</v>
      </c>
      <c r="D31" s="24">
        <f t="shared" si="6"/>
        <v>0</v>
      </c>
      <c r="E31" s="24">
        <f t="shared" si="6"/>
        <v>0</v>
      </c>
      <c r="F31" s="24">
        <f t="shared" si="6"/>
        <v>0</v>
      </c>
      <c r="G31" s="24">
        <f t="shared" si="6"/>
        <v>0</v>
      </c>
      <c r="H31" s="24">
        <f t="shared" si="6"/>
        <v>326.38</v>
      </c>
      <c r="I31" s="24">
        <f t="shared" si="6"/>
        <v>20867.3</v>
      </c>
      <c r="J31" s="24">
        <f t="shared" si="6"/>
        <v>25082.8</v>
      </c>
      <c r="K31" s="24">
        <f t="shared" si="6"/>
        <v>45442.44</v>
      </c>
      <c r="L31" s="24">
        <f t="shared" si="6"/>
        <v>26500.21</v>
      </c>
      <c r="M31" s="24">
        <f t="shared" si="6"/>
        <v>48993.34</v>
      </c>
      <c r="N31" s="14">
        <f>SUM(B31:M31)</f>
        <v>167212.47</v>
      </c>
      <c r="O31" s="5"/>
      <c r="P31" s="5"/>
      <c r="Q31" s="5"/>
      <c r="R31" s="9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18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5"/>
      <c r="P32" s="5"/>
      <c r="Q32" s="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63"/>
      <c r="B33" s="64"/>
      <c r="C33" s="65"/>
      <c r="D33" s="65"/>
      <c r="E33" s="65"/>
      <c r="F33" s="65"/>
      <c r="G33" s="65"/>
      <c r="H33" s="65"/>
      <c r="I33" s="66"/>
      <c r="J33" s="66"/>
      <c r="K33" s="66"/>
      <c r="L33" s="66"/>
      <c r="M33" s="66"/>
      <c r="N33" s="2"/>
      <c r="O33" s="66"/>
      <c r="P33" s="66"/>
      <c r="Q33" s="6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63"/>
      <c r="B34" s="64"/>
      <c r="C34" s="67"/>
      <c r="D34" s="67"/>
      <c r="E34" s="67"/>
      <c r="F34" s="67"/>
      <c r="G34" s="67"/>
      <c r="H34" s="67"/>
      <c r="I34" s="66"/>
      <c r="J34" s="66"/>
      <c r="K34" s="66"/>
      <c r="L34" s="66"/>
      <c r="M34" s="66"/>
      <c r="N34" s="66"/>
      <c r="O34" s="66"/>
      <c r="P34" s="66"/>
      <c r="Q34" s="6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68"/>
      <c r="B35" s="68"/>
      <c r="C35" s="68"/>
      <c r="D35" s="68"/>
      <c r="E35" s="68"/>
      <c r="F35" s="68"/>
      <c r="G35" s="68"/>
      <c r="H35" s="6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69" t="s">
        <v>36</v>
      </c>
      <c r="B37" s="7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71"/>
      <c r="B38" s="72"/>
      <c r="C38" s="65"/>
      <c r="D38" s="65"/>
      <c r="E38" s="65"/>
      <c r="F38" s="65"/>
      <c r="G38" s="65"/>
      <c r="H38" s="6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73"/>
      <c r="B39" s="7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73"/>
      <c r="B40" s="7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73"/>
      <c r="B41" s="7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73"/>
      <c r="B42" s="7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7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59"/>
      <c r="B48" s="7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59"/>
      <c r="B49" s="7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58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59"/>
      <c r="B51" s="76"/>
      <c r="C51" s="9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59"/>
      <c r="B52" s="77"/>
      <c r="C52" s="9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18"/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78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78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78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78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78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78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78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78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78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78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78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78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78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78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78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78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78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78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78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78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78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78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78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78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78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78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78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78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78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78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78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78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78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78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78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78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78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78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78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78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78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78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78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78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78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78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78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78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78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78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78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78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78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78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78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78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78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78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78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78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78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78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78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78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78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78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78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78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78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78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78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78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78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78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78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78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78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78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78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78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78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78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78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78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78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78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78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78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78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78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78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78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78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78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78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78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78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78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78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78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78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78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78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78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78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78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78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78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78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78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78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78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78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78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78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78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78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78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78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78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78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78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78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78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78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78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78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78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78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78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78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78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78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78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78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78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78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78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78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78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78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78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78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78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78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78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78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78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78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78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78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78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78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78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78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78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78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78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78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78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78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78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78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78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78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78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78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78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78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78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78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78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78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78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78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78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78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78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78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78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78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78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78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78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78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78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78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78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78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78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78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78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78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78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78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78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78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78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78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78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78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78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78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78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78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78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78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78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78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78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78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78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78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78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78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78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78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78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78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78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78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78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78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78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78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78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78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78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78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78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78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78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78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78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78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78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78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78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78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78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78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78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78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78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78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78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78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78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78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78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78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78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78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78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78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78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78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78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78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78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78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78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78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78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78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78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78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78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78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78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78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78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78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78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78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78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78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78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78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78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78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78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78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78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78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78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78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78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78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78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78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78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78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78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78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78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78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78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78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78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78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78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78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78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78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78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78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78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78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78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78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78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78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78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78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78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78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78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78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78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78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78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78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78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78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78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78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78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78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78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78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78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78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78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78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78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78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78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78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78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78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78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78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78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78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78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78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78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78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78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78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78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78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78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78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78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78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78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78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78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78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78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78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78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78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78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78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78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78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78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78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78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78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78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78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78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78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78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78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78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78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78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78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78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78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78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78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78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78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78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78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78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78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78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78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78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78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78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78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78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78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78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78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78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78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78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78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78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78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78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78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78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78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78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78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78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78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78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78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78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78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78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78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78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78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78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78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78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78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78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78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78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78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78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78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78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78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78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78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78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78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78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78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78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78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78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78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78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78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78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78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78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78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78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78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78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78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78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78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78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78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78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78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78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78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78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78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78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78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78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78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78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78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78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78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78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78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78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78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78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78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78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78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78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78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78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78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78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78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78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78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78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78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78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78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78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78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78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78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78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78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78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78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78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78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78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78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78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78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78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78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78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78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78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78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78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78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78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78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78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78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78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78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78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78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78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78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78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78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78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78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78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78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78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78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78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78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78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78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78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78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78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78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78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78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78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78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78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78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78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78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78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78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78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78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78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78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78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78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78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78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78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78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78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78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78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78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78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78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78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78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78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78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78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78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78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78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78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78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78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78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78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78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78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78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78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78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78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78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78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78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78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78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78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78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78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78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78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78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78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78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78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78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78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78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78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78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78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78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78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78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78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78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78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78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78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78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78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78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78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78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78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78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78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78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78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78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78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78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78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78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78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78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78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78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78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78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78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78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78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78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78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78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78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78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78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78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78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78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78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78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78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78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78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78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78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78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78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78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78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78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78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78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78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78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78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78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78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78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78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78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78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78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78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78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78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78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78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78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78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78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78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78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78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78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78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78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78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78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78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78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78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78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78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78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78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78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78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78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78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78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78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78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78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78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78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78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78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78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78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78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78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78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78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78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78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78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78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78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78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78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78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78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78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78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78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78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78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78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78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78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78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78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78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78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78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78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78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78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78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78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78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78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78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78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78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78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78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78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78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78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78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78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78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78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78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78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78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78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78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78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</sheetData>
  <mergeCells count="1">
    <mergeCell ref="A37:B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14" max="14" width="14.25"/>
  </cols>
  <sheetData>
    <row r="1">
      <c r="A1" s="1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79">
        <v>2024.0</v>
      </c>
      <c r="C3" s="79">
        <v>2024.0</v>
      </c>
      <c r="D3" s="79">
        <v>2024.0</v>
      </c>
      <c r="E3" s="79">
        <v>2024.0</v>
      </c>
      <c r="F3" s="79">
        <v>2024.0</v>
      </c>
      <c r="G3" s="79">
        <v>2024.0</v>
      </c>
      <c r="H3" s="79">
        <v>2024.0</v>
      </c>
      <c r="I3" s="79">
        <v>2024.0</v>
      </c>
      <c r="J3" s="79">
        <v>2024.0</v>
      </c>
      <c r="K3" s="79">
        <v>2024.0</v>
      </c>
      <c r="L3" s="79">
        <v>2024.0</v>
      </c>
      <c r="M3" s="79">
        <v>2024.0</v>
      </c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80" t="s">
        <v>38</v>
      </c>
      <c r="O4" s="9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">
        <v>14</v>
      </c>
      <c r="B5" s="81">
        <v>362372.0</v>
      </c>
      <c r="C5" s="22">
        <v>225115.0</v>
      </c>
      <c r="D5" s="82">
        <v>212720.0</v>
      </c>
      <c r="E5" s="22">
        <v>216356.0</v>
      </c>
      <c r="F5" s="22">
        <v>274364.0</v>
      </c>
      <c r="G5" s="12">
        <v>172762.0</v>
      </c>
      <c r="H5" s="12">
        <v>160740.0</v>
      </c>
      <c r="I5" s="12">
        <v>271885.0</v>
      </c>
      <c r="J5" s="83">
        <v>210267.0</v>
      </c>
      <c r="K5" s="12">
        <v>224621.0</v>
      </c>
      <c r="L5" s="12">
        <v>238129.0</v>
      </c>
      <c r="M5" s="12">
        <v>303168.0</v>
      </c>
      <c r="N5" s="24">
        <f t="shared" ref="N5:N7" si="1">SUM(B5:M5)</f>
        <v>2872499</v>
      </c>
      <c r="O5" s="9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 t="s">
        <v>15</v>
      </c>
      <c r="B6" s="11">
        <v>2218.0</v>
      </c>
      <c r="C6" s="22">
        <v>1911.0</v>
      </c>
      <c r="D6" s="84">
        <v>2073.0</v>
      </c>
      <c r="E6" s="22">
        <v>360.3</v>
      </c>
      <c r="F6" s="22">
        <v>940.87</v>
      </c>
      <c r="G6" s="22">
        <v>630.26</v>
      </c>
      <c r="H6" s="12">
        <v>534.39</v>
      </c>
      <c r="I6" s="12">
        <v>660.57</v>
      </c>
      <c r="J6" s="83">
        <v>1529.0</v>
      </c>
      <c r="K6" s="22">
        <v>1781.0</v>
      </c>
      <c r="L6" s="12">
        <v>2403.0</v>
      </c>
      <c r="M6" s="12">
        <v>1103.0</v>
      </c>
      <c r="N6" s="24">
        <f t="shared" si="1"/>
        <v>16144.39</v>
      </c>
      <c r="O6" s="9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6" t="s">
        <v>16</v>
      </c>
      <c r="B7" s="17">
        <f t="shared" ref="B7:M7" si="2">B5-B6</f>
        <v>360154</v>
      </c>
      <c r="C7" s="17">
        <f t="shared" si="2"/>
        <v>223204</v>
      </c>
      <c r="D7" s="17">
        <f t="shared" si="2"/>
        <v>210647</v>
      </c>
      <c r="E7" s="17">
        <f t="shared" si="2"/>
        <v>215995.7</v>
      </c>
      <c r="F7" s="17">
        <f t="shared" si="2"/>
        <v>273423.13</v>
      </c>
      <c r="G7" s="17">
        <f t="shared" si="2"/>
        <v>172131.74</v>
      </c>
      <c r="H7" s="17">
        <f t="shared" si="2"/>
        <v>160205.61</v>
      </c>
      <c r="I7" s="17">
        <f t="shared" si="2"/>
        <v>271224.43</v>
      </c>
      <c r="J7" s="17">
        <f t="shared" si="2"/>
        <v>208738</v>
      </c>
      <c r="K7" s="17">
        <f t="shared" si="2"/>
        <v>222840</v>
      </c>
      <c r="L7" s="17">
        <f t="shared" si="2"/>
        <v>235726</v>
      </c>
      <c r="M7" s="17">
        <f t="shared" si="2"/>
        <v>302065</v>
      </c>
      <c r="N7" s="24">
        <f t="shared" si="1"/>
        <v>2856354.61</v>
      </c>
      <c r="O7" s="9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79">
        <v>2024.0</v>
      </c>
      <c r="C9" s="79">
        <v>2024.0</v>
      </c>
      <c r="D9" s="79">
        <v>2024.0</v>
      </c>
      <c r="E9" s="79">
        <v>2024.0</v>
      </c>
      <c r="F9" s="79">
        <v>2024.0</v>
      </c>
      <c r="G9" s="79">
        <v>2024.0</v>
      </c>
      <c r="H9" s="79">
        <v>2024.0</v>
      </c>
      <c r="I9" s="79">
        <v>2024.0</v>
      </c>
      <c r="J9" s="79">
        <v>2024.0</v>
      </c>
      <c r="K9" s="79">
        <v>2024.0</v>
      </c>
      <c r="L9" s="79">
        <v>2024.0</v>
      </c>
      <c r="M9" s="79">
        <v>2024.0</v>
      </c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17</v>
      </c>
      <c r="B10" s="7" t="s">
        <v>2</v>
      </c>
      <c r="C10" s="7" t="s">
        <v>3</v>
      </c>
      <c r="D10" s="7" t="s">
        <v>4</v>
      </c>
      <c r="E10" s="7" t="s">
        <v>5</v>
      </c>
      <c r="F10" s="7" t="s">
        <v>6</v>
      </c>
      <c r="G10" s="7" t="s">
        <v>7</v>
      </c>
      <c r="H10" s="7" t="s">
        <v>8</v>
      </c>
      <c r="I10" s="7" t="s">
        <v>9</v>
      </c>
      <c r="J10" s="7" t="s">
        <v>10</v>
      </c>
      <c r="K10" s="7" t="s">
        <v>11</v>
      </c>
      <c r="L10" s="7" t="s">
        <v>12</v>
      </c>
      <c r="M10" s="7" t="s">
        <v>13</v>
      </c>
      <c r="N10" s="80" t="s">
        <v>38</v>
      </c>
      <c r="O10" s="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1" t="s">
        <v>18</v>
      </c>
      <c r="B11" s="22">
        <v>61603.240000000005</v>
      </c>
      <c r="C11" s="22">
        <v>38269.55</v>
      </c>
      <c r="D11" s="22">
        <v>36162.4</v>
      </c>
      <c r="E11" s="22">
        <v>36780.520000000004</v>
      </c>
      <c r="F11" s="22">
        <v>46641.880000000005</v>
      </c>
      <c r="G11" s="22">
        <v>29369.54</v>
      </c>
      <c r="H11" s="22">
        <v>27325.800000000003</v>
      </c>
      <c r="I11" s="22">
        <v>46220.450000000004</v>
      </c>
      <c r="J11" s="22">
        <v>35745.39</v>
      </c>
      <c r="K11" s="22">
        <v>38185.57</v>
      </c>
      <c r="L11" s="22">
        <v>40481.93</v>
      </c>
      <c r="M11" s="22">
        <v>51538.560000000005</v>
      </c>
      <c r="N11" s="85">
        <f t="shared" ref="N11:N12" si="4">SUM(B11:M11)</f>
        <v>488324.83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6" t="s">
        <v>19</v>
      </c>
      <c r="B12" s="24">
        <f t="shared" ref="B12:M12" si="3">B7-B11</f>
        <v>298550.76</v>
      </c>
      <c r="C12" s="24">
        <f t="shared" si="3"/>
        <v>184934.45</v>
      </c>
      <c r="D12" s="24">
        <f t="shared" si="3"/>
        <v>174484.6</v>
      </c>
      <c r="E12" s="24">
        <f t="shared" si="3"/>
        <v>179215.18</v>
      </c>
      <c r="F12" s="24">
        <f t="shared" si="3"/>
        <v>226781.25</v>
      </c>
      <c r="G12" s="24">
        <f t="shared" si="3"/>
        <v>142762.2</v>
      </c>
      <c r="H12" s="24">
        <f t="shared" si="3"/>
        <v>132879.81</v>
      </c>
      <c r="I12" s="24">
        <f t="shared" si="3"/>
        <v>225003.98</v>
      </c>
      <c r="J12" s="24">
        <f t="shared" si="3"/>
        <v>172992.61</v>
      </c>
      <c r="K12" s="24">
        <f t="shared" si="3"/>
        <v>184654.43</v>
      </c>
      <c r="L12" s="24">
        <f t="shared" si="3"/>
        <v>195244.07</v>
      </c>
      <c r="M12" s="24">
        <f t="shared" si="3"/>
        <v>250526.44</v>
      </c>
      <c r="N12" s="86">
        <f t="shared" si="4"/>
        <v>2368029.78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79">
        <v>2024.0</v>
      </c>
      <c r="C14" s="79">
        <v>2024.0</v>
      </c>
      <c r="D14" s="79">
        <v>2024.0</v>
      </c>
      <c r="E14" s="79">
        <v>2024.0</v>
      </c>
      <c r="F14" s="79">
        <v>2024.0</v>
      </c>
      <c r="G14" s="79">
        <v>2024.0</v>
      </c>
      <c r="H14" s="79">
        <v>2024.0</v>
      </c>
      <c r="I14" s="79">
        <v>2024.0</v>
      </c>
      <c r="J14" s="79">
        <v>2024.0</v>
      </c>
      <c r="K14" s="79">
        <v>2024.0</v>
      </c>
      <c r="L14" s="79">
        <v>2024.0</v>
      </c>
      <c r="M14" s="79">
        <v>2024.0</v>
      </c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20</v>
      </c>
      <c r="B15" s="7" t="s">
        <v>2</v>
      </c>
      <c r="C15" s="7" t="s">
        <v>3</v>
      </c>
      <c r="D15" s="7" t="s">
        <v>4</v>
      </c>
      <c r="E15" s="7" t="s">
        <v>5</v>
      </c>
      <c r="F15" s="7" t="s">
        <v>6</v>
      </c>
      <c r="G15" s="7" t="s">
        <v>7</v>
      </c>
      <c r="H15" s="7" t="s">
        <v>8</v>
      </c>
      <c r="I15" s="7" t="s">
        <v>9</v>
      </c>
      <c r="J15" s="7" t="s">
        <v>10</v>
      </c>
      <c r="K15" s="7" t="s">
        <v>11</v>
      </c>
      <c r="L15" s="7" t="s">
        <v>12</v>
      </c>
      <c r="M15" s="7" t="s">
        <v>13</v>
      </c>
      <c r="N15" s="80" t="s">
        <v>38</v>
      </c>
      <c r="O15" s="9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 t="s">
        <v>21</v>
      </c>
      <c r="B16" s="87"/>
      <c r="C16" s="87"/>
      <c r="D16" s="88">
        <v>231.0</v>
      </c>
      <c r="E16" s="88">
        <v>391.0</v>
      </c>
      <c r="F16" s="87"/>
      <c r="G16" s="87"/>
      <c r="H16" s="87"/>
      <c r="I16" s="87"/>
      <c r="J16" s="87"/>
      <c r="K16" s="89"/>
      <c r="L16" s="90">
        <v>900.0</v>
      </c>
      <c r="M16" s="91"/>
      <c r="N16" s="17">
        <f t="shared" ref="N16:N28" si="5">SUM(B16:M16)</f>
        <v>1522</v>
      </c>
      <c r="O16" s="9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1" t="s">
        <v>22</v>
      </c>
      <c r="B17" s="92">
        <v>3838.0</v>
      </c>
      <c r="C17" s="92">
        <v>3475.0</v>
      </c>
      <c r="D17" s="92">
        <v>1881.0</v>
      </c>
      <c r="E17" s="92">
        <v>2988.0</v>
      </c>
      <c r="F17" s="92">
        <v>2712.0</v>
      </c>
      <c r="G17" s="92">
        <v>1884.0</v>
      </c>
      <c r="H17" s="51">
        <v>2465.0</v>
      </c>
      <c r="I17" s="51">
        <v>9230.0</v>
      </c>
      <c r="J17" s="93">
        <v>7412.0</v>
      </c>
      <c r="K17" s="22">
        <v>9664.0</v>
      </c>
      <c r="L17" s="94">
        <v>8796.0</v>
      </c>
      <c r="M17" s="93">
        <v>11994.0</v>
      </c>
      <c r="N17" s="17">
        <f t="shared" si="5"/>
        <v>66339</v>
      </c>
      <c r="O17" s="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1" t="s">
        <v>23</v>
      </c>
      <c r="B18" s="92">
        <v>153437.53</v>
      </c>
      <c r="C18" s="51">
        <v>111230.39</v>
      </c>
      <c r="D18" s="51">
        <v>102999.24</v>
      </c>
      <c r="E18" s="51">
        <v>86718.93</v>
      </c>
      <c r="F18" s="51">
        <v>112943.75</v>
      </c>
      <c r="G18" s="51">
        <v>79532.86</v>
      </c>
      <c r="H18" s="51">
        <v>74962.84</v>
      </c>
      <c r="I18" s="51">
        <v>130464.48</v>
      </c>
      <c r="J18" s="93">
        <v>96122.91</v>
      </c>
      <c r="K18" s="22">
        <v>91641.31</v>
      </c>
      <c r="L18" s="95">
        <v>90861.9</v>
      </c>
      <c r="M18" s="96">
        <v>136797.35</v>
      </c>
      <c r="N18" s="17">
        <f t="shared" si="5"/>
        <v>1267713.49</v>
      </c>
      <c r="O18" s="9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1" t="s">
        <v>24</v>
      </c>
      <c r="B19" s="72"/>
      <c r="C19" s="72"/>
      <c r="D19" s="72"/>
      <c r="E19" s="72"/>
      <c r="F19" s="72"/>
      <c r="G19" s="72"/>
      <c r="H19" s="72"/>
      <c r="I19" s="72"/>
      <c r="J19" s="72"/>
      <c r="K19" s="87"/>
      <c r="L19" s="72"/>
      <c r="M19" s="97"/>
      <c r="N19" s="17">
        <f t="shared" si="5"/>
        <v>0</v>
      </c>
      <c r="O19" s="9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1" t="s">
        <v>25</v>
      </c>
      <c r="B20" s="72"/>
      <c r="C20" s="72"/>
      <c r="D20" s="72"/>
      <c r="E20" s="72"/>
      <c r="F20" s="72"/>
      <c r="G20" s="72"/>
      <c r="H20" s="98"/>
      <c r="I20" s="72"/>
      <c r="J20" s="72"/>
      <c r="K20" s="76"/>
      <c r="L20" s="72"/>
      <c r="M20" s="97"/>
      <c r="N20" s="17">
        <f t="shared" si="5"/>
        <v>0</v>
      </c>
      <c r="O20" s="9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1" t="s">
        <v>26</v>
      </c>
      <c r="B21" s="92">
        <v>14494.880000000001</v>
      </c>
      <c r="C21" s="92">
        <v>9004.6</v>
      </c>
      <c r="D21" s="92">
        <v>8508.8</v>
      </c>
      <c r="E21" s="92">
        <v>8654.24</v>
      </c>
      <c r="F21" s="92">
        <v>10974.56</v>
      </c>
      <c r="G21" s="92">
        <v>6910.4800000000005</v>
      </c>
      <c r="H21" s="92">
        <v>6429.6</v>
      </c>
      <c r="I21" s="92">
        <v>10875.4</v>
      </c>
      <c r="J21" s="92">
        <v>8410.68</v>
      </c>
      <c r="K21" s="92">
        <v>8984.84</v>
      </c>
      <c r="L21" s="92">
        <v>9525.16</v>
      </c>
      <c r="M21" s="92">
        <v>12126.72</v>
      </c>
      <c r="N21" s="17">
        <f t="shared" si="5"/>
        <v>114899.96</v>
      </c>
      <c r="O21" s="9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1" t="s">
        <v>27</v>
      </c>
      <c r="B22" s="51">
        <v>1026.0</v>
      </c>
      <c r="C22" s="51">
        <v>1027.0</v>
      </c>
      <c r="D22" s="51">
        <v>994.73</v>
      </c>
      <c r="E22" s="51">
        <v>1025.0</v>
      </c>
      <c r="F22" s="51">
        <v>1098.0</v>
      </c>
      <c r="G22" s="51">
        <v>1061.0</v>
      </c>
      <c r="H22" s="90">
        <v>1100.0</v>
      </c>
      <c r="I22" s="51">
        <v>1509.0</v>
      </c>
      <c r="J22" s="93">
        <v>1603.0</v>
      </c>
      <c r="K22" s="22">
        <v>1649.0</v>
      </c>
      <c r="L22" s="99">
        <v>1585.0</v>
      </c>
      <c r="M22" s="83">
        <v>1631.0</v>
      </c>
      <c r="N22" s="17">
        <f t="shared" si="5"/>
        <v>15308.73</v>
      </c>
      <c r="O22" s="9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1" t="s">
        <v>28</v>
      </c>
      <c r="B23" s="72"/>
      <c r="C23" s="72"/>
      <c r="D23" s="72"/>
      <c r="E23" s="72"/>
      <c r="F23" s="72"/>
      <c r="G23" s="72"/>
      <c r="H23" s="72"/>
      <c r="I23" s="72"/>
      <c r="J23" s="97"/>
      <c r="K23" s="76"/>
      <c r="L23" s="74"/>
      <c r="M23" s="91"/>
      <c r="N23" s="17">
        <f t="shared" si="5"/>
        <v>0</v>
      </c>
      <c r="O23" s="9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1" t="s">
        <v>29</v>
      </c>
      <c r="B24" s="72"/>
      <c r="C24" s="72"/>
      <c r="D24" s="72"/>
      <c r="E24" s="72"/>
      <c r="F24" s="72"/>
      <c r="G24" s="72"/>
      <c r="H24" s="72"/>
      <c r="I24" s="72"/>
      <c r="J24" s="97"/>
      <c r="K24" s="76"/>
      <c r="L24" s="74"/>
      <c r="M24" s="97"/>
      <c r="N24" s="17">
        <f t="shared" si="5"/>
        <v>0</v>
      </c>
      <c r="O24" s="9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1" t="s">
        <v>30</v>
      </c>
      <c r="B25" s="92">
        <v>500.0</v>
      </c>
      <c r="C25" s="92">
        <v>500.0</v>
      </c>
      <c r="D25" s="92">
        <v>500.0</v>
      </c>
      <c r="E25" s="92">
        <v>500.0</v>
      </c>
      <c r="F25" s="92">
        <v>500.0</v>
      </c>
      <c r="G25" s="92">
        <v>500.0</v>
      </c>
      <c r="H25" s="92">
        <v>500.0</v>
      </c>
      <c r="I25" s="92">
        <v>500.0</v>
      </c>
      <c r="J25" s="92">
        <v>500.0</v>
      </c>
      <c r="K25" s="92">
        <v>500.0</v>
      </c>
      <c r="L25" s="92">
        <v>500.0</v>
      </c>
      <c r="M25" s="92">
        <v>500.0</v>
      </c>
      <c r="N25" s="17">
        <f t="shared" si="5"/>
        <v>6000</v>
      </c>
      <c r="O25" s="9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1" t="s">
        <v>31</v>
      </c>
      <c r="B26" s="72"/>
      <c r="C26" s="72"/>
      <c r="D26" s="72"/>
      <c r="E26" s="72"/>
      <c r="F26" s="72"/>
      <c r="G26" s="72"/>
      <c r="H26" s="72"/>
      <c r="I26" s="72"/>
      <c r="J26" s="72"/>
      <c r="K26" s="100"/>
      <c r="L26" s="72"/>
      <c r="M26" s="97"/>
      <c r="N26" s="17">
        <f t="shared" si="5"/>
        <v>0</v>
      </c>
      <c r="O26" s="9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 t="s">
        <v>32</v>
      </c>
      <c r="B27" s="101">
        <v>1543.55</v>
      </c>
      <c r="C27" s="102">
        <v>1290.43</v>
      </c>
      <c r="D27" s="102">
        <v>1355.9</v>
      </c>
      <c r="E27" s="102">
        <v>939.99</v>
      </c>
      <c r="F27" s="102">
        <v>1190.0</v>
      </c>
      <c r="G27" s="102">
        <v>1234.0</v>
      </c>
      <c r="H27" s="102">
        <v>1900.0</v>
      </c>
      <c r="I27" s="102">
        <v>1284.0</v>
      </c>
      <c r="J27" s="102">
        <v>769.0</v>
      </c>
      <c r="K27" s="102">
        <v>1788.0</v>
      </c>
      <c r="L27" s="102">
        <v>1421.0</v>
      </c>
      <c r="M27" s="102">
        <v>1177.0</v>
      </c>
      <c r="N27" s="17">
        <f t="shared" si="5"/>
        <v>15892.87</v>
      </c>
      <c r="O27" s="9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6" t="s">
        <v>33</v>
      </c>
      <c r="B28" s="24">
        <f t="shared" ref="B28:M28" si="6">SUM(B16:B27)</f>
        <v>174839.96</v>
      </c>
      <c r="C28" s="24">
        <f t="shared" si="6"/>
        <v>126527.42</v>
      </c>
      <c r="D28" s="24">
        <f t="shared" si="6"/>
        <v>116470.67</v>
      </c>
      <c r="E28" s="24">
        <f t="shared" si="6"/>
        <v>101217.16</v>
      </c>
      <c r="F28" s="24">
        <f t="shared" si="6"/>
        <v>129418.31</v>
      </c>
      <c r="G28" s="24">
        <f t="shared" si="6"/>
        <v>91122.34</v>
      </c>
      <c r="H28" s="24">
        <f t="shared" si="6"/>
        <v>87357.44</v>
      </c>
      <c r="I28" s="24">
        <f t="shared" si="6"/>
        <v>153862.88</v>
      </c>
      <c r="J28" s="24">
        <f t="shared" si="6"/>
        <v>114817.59</v>
      </c>
      <c r="K28" s="24">
        <f t="shared" si="6"/>
        <v>114227.15</v>
      </c>
      <c r="L28" s="24">
        <f t="shared" si="6"/>
        <v>113589.06</v>
      </c>
      <c r="M28" s="24">
        <f t="shared" si="6"/>
        <v>164226.07</v>
      </c>
      <c r="N28" s="24">
        <f t="shared" si="5"/>
        <v>1487676.05</v>
      </c>
      <c r="O28" s="9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8"/>
      <c r="B29" s="58"/>
      <c r="C29" s="58"/>
      <c r="D29" s="59"/>
      <c r="E29" s="60"/>
      <c r="F29" s="60"/>
      <c r="G29" s="60"/>
      <c r="H29" s="60"/>
      <c r="I29" s="60"/>
      <c r="J29" s="61"/>
      <c r="K29" s="58"/>
      <c r="L29" s="58"/>
      <c r="M29" s="58"/>
      <c r="N29" s="5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s">
        <v>34</v>
      </c>
      <c r="B30" s="7" t="s">
        <v>2</v>
      </c>
      <c r="C30" s="7" t="s">
        <v>3</v>
      </c>
      <c r="D30" s="7" t="s">
        <v>4</v>
      </c>
      <c r="E30" s="7" t="s">
        <v>5</v>
      </c>
      <c r="F30" s="7" t="s">
        <v>6</v>
      </c>
      <c r="G30" s="7" t="s">
        <v>7</v>
      </c>
      <c r="H30" s="7" t="s">
        <v>8</v>
      </c>
      <c r="I30" s="7" t="s">
        <v>9</v>
      </c>
      <c r="J30" s="7" t="s">
        <v>10</v>
      </c>
      <c r="K30" s="7" t="s">
        <v>11</v>
      </c>
      <c r="L30" s="7" t="s">
        <v>12</v>
      </c>
      <c r="M30" s="7" t="s">
        <v>13</v>
      </c>
      <c r="N30" s="80" t="s">
        <v>39</v>
      </c>
      <c r="O30" s="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6" t="s">
        <v>35</v>
      </c>
      <c r="B31" s="24">
        <f t="shared" ref="B31:M31" si="7">B7-B11-B28</f>
        <v>123710.8</v>
      </c>
      <c r="C31" s="24">
        <f t="shared" si="7"/>
        <v>58407.03</v>
      </c>
      <c r="D31" s="24">
        <f t="shared" si="7"/>
        <v>58013.93</v>
      </c>
      <c r="E31" s="24">
        <f t="shared" si="7"/>
        <v>77998.02</v>
      </c>
      <c r="F31" s="24">
        <f t="shared" si="7"/>
        <v>97362.94</v>
      </c>
      <c r="G31" s="24">
        <f t="shared" si="7"/>
        <v>51639.86</v>
      </c>
      <c r="H31" s="24">
        <f t="shared" si="7"/>
        <v>45522.37</v>
      </c>
      <c r="I31" s="24">
        <f t="shared" si="7"/>
        <v>71141.1</v>
      </c>
      <c r="J31" s="24">
        <f t="shared" si="7"/>
        <v>58175.02</v>
      </c>
      <c r="K31" s="24">
        <f t="shared" si="7"/>
        <v>70427.28</v>
      </c>
      <c r="L31" s="24">
        <f t="shared" si="7"/>
        <v>81655.01</v>
      </c>
      <c r="M31" s="24">
        <f t="shared" si="7"/>
        <v>86300.37</v>
      </c>
      <c r="N31" s="24">
        <f>SUM(B31:M31)</f>
        <v>880353.73</v>
      </c>
      <c r="O31" s="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8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18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3"/>
      <c r="B33" s="64"/>
      <c r="C33" s="65"/>
      <c r="D33" s="65"/>
      <c r="E33" s="65"/>
      <c r="F33" s="65"/>
      <c r="G33" s="65"/>
      <c r="H33" s="65"/>
      <c r="I33" s="66"/>
      <c r="J33" s="66"/>
      <c r="K33" s="66"/>
      <c r="L33" s="66"/>
      <c r="M33" s="66"/>
      <c r="N33" s="6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3"/>
      <c r="B34" s="64"/>
      <c r="C34" s="67"/>
      <c r="D34" s="67"/>
      <c r="E34" s="67"/>
      <c r="F34" s="67"/>
      <c r="G34" s="67"/>
      <c r="H34" s="67"/>
      <c r="I34" s="66"/>
      <c r="J34" s="66"/>
      <c r="K34" s="66"/>
      <c r="L34" s="66"/>
      <c r="M34" s="66"/>
      <c r="N34" s="6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8"/>
      <c r="B35" s="68"/>
      <c r="C35" s="68"/>
      <c r="D35" s="68"/>
      <c r="E35" s="68"/>
      <c r="F35" s="68"/>
      <c r="G35" s="68"/>
      <c r="H35" s="6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9" t="s">
        <v>36</v>
      </c>
      <c r="B37" s="7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 t="s">
        <v>23</v>
      </c>
      <c r="B38" s="50">
        <f>SUM(N18)</f>
        <v>1267713.49</v>
      </c>
      <c r="C38" s="65"/>
      <c r="D38" s="65"/>
      <c r="E38" s="65"/>
      <c r="F38" s="65"/>
      <c r="G38" s="65"/>
      <c r="H38" s="6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1" t="s">
        <v>40</v>
      </c>
      <c r="B39" s="50">
        <f>SUM(N17)</f>
        <v>66339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1" t="s">
        <v>41</v>
      </c>
      <c r="B40" s="50">
        <f>SUM(N16)</f>
        <v>1522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1" t="s">
        <v>24</v>
      </c>
      <c r="B41" s="50">
        <f t="shared" ref="B41:B42" si="8">SUM(N19)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1" t="s">
        <v>25</v>
      </c>
      <c r="B42" s="50">
        <f t="shared" si="8"/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7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9"/>
      <c r="B48" s="7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9"/>
      <c r="B49" s="7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8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9"/>
      <c r="B51" s="76"/>
      <c r="C51" s="9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9"/>
      <c r="B52" s="77"/>
      <c r="C52" s="9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8"/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1">
    <mergeCell ref="A37:B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1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3"/>
      <c r="B3" s="79">
        <v>2025.0</v>
      </c>
      <c r="C3" s="79">
        <v>2025.0</v>
      </c>
      <c r="D3" s="79">
        <v>2025.0</v>
      </c>
      <c r="E3" s="79">
        <v>2025.0</v>
      </c>
      <c r="F3" s="79">
        <v>2025.0</v>
      </c>
      <c r="G3" s="79">
        <v>2025.0</v>
      </c>
      <c r="H3" s="79">
        <v>2025.0</v>
      </c>
      <c r="I3" s="79">
        <v>2025.0</v>
      </c>
      <c r="J3" s="79">
        <v>2025.0</v>
      </c>
      <c r="K3" s="79">
        <v>2025.0</v>
      </c>
      <c r="L3" s="79">
        <v>2025.0</v>
      </c>
      <c r="M3" s="79">
        <v>2025.0</v>
      </c>
      <c r="N3" s="2"/>
      <c r="O3" s="5"/>
      <c r="P3" s="5"/>
      <c r="Q3" s="5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8"/>
      <c r="O4" s="5"/>
      <c r="P4" s="5"/>
      <c r="Q4" s="5"/>
      <c r="R4" s="9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0" t="s">
        <v>14</v>
      </c>
      <c r="B5" s="12">
        <v>395324.0</v>
      </c>
      <c r="C5" s="12">
        <v>245150.0</v>
      </c>
      <c r="D5" s="12">
        <v>179227.0</v>
      </c>
      <c r="E5" s="12">
        <v>181621.0</v>
      </c>
      <c r="F5" s="103">
        <v>176473.0</v>
      </c>
      <c r="G5" s="103">
        <v>160377.0</v>
      </c>
      <c r="H5" s="103">
        <v>243318.0</v>
      </c>
      <c r="I5" s="103">
        <v>221805.0</v>
      </c>
      <c r="J5" s="13">
        <v>239283.0</v>
      </c>
      <c r="K5" s="13">
        <v>105059.0</v>
      </c>
      <c r="L5" s="13">
        <v>80806.0</v>
      </c>
      <c r="M5" s="13">
        <v>76803.0</v>
      </c>
      <c r="N5" s="14">
        <f t="shared" ref="N5:N7" si="1">SUM(B5:M5)</f>
        <v>2305246</v>
      </c>
      <c r="O5" s="5"/>
      <c r="P5" s="5"/>
      <c r="Q5" s="5"/>
      <c r="R5" s="9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5" t="s">
        <v>15</v>
      </c>
      <c r="B6" s="11">
        <v>2048.0</v>
      </c>
      <c r="C6" s="11">
        <v>1541.0</v>
      </c>
      <c r="D6" s="11">
        <v>1583.0</v>
      </c>
      <c r="E6" s="11">
        <v>2113.0</v>
      </c>
      <c r="F6" s="11">
        <v>1248.0</v>
      </c>
      <c r="G6" s="11">
        <v>1563.0</v>
      </c>
      <c r="H6" s="11">
        <v>408.22</v>
      </c>
      <c r="I6" s="11">
        <v>680.04</v>
      </c>
      <c r="J6" s="11">
        <v>455.3</v>
      </c>
      <c r="K6" s="11">
        <v>247.33</v>
      </c>
      <c r="L6" s="104">
        <v>29.99</v>
      </c>
      <c r="M6" s="11">
        <v>363.85</v>
      </c>
      <c r="N6" s="14">
        <f t="shared" si="1"/>
        <v>12280.73</v>
      </c>
      <c r="O6" s="5"/>
      <c r="P6" s="5"/>
      <c r="Q6" s="5"/>
      <c r="R6" s="9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16" t="s">
        <v>16</v>
      </c>
      <c r="B7" s="17">
        <f t="shared" ref="B7:M7" si="2">B5-B6</f>
        <v>393276</v>
      </c>
      <c r="C7" s="17">
        <f t="shared" si="2"/>
        <v>243609</v>
      </c>
      <c r="D7" s="17">
        <f t="shared" si="2"/>
        <v>177644</v>
      </c>
      <c r="E7" s="17">
        <f t="shared" si="2"/>
        <v>179508</v>
      </c>
      <c r="F7" s="17">
        <f t="shared" si="2"/>
        <v>175225</v>
      </c>
      <c r="G7" s="17">
        <f t="shared" si="2"/>
        <v>158814</v>
      </c>
      <c r="H7" s="17">
        <f t="shared" si="2"/>
        <v>242909.78</v>
      </c>
      <c r="I7" s="17">
        <f t="shared" si="2"/>
        <v>221124.96</v>
      </c>
      <c r="J7" s="17">
        <f t="shared" si="2"/>
        <v>238827.7</v>
      </c>
      <c r="K7" s="17">
        <f t="shared" si="2"/>
        <v>104811.67</v>
      </c>
      <c r="L7" s="17">
        <f t="shared" si="2"/>
        <v>80776.01</v>
      </c>
      <c r="M7" s="17">
        <f t="shared" si="2"/>
        <v>76439.15</v>
      </c>
      <c r="N7" s="14">
        <f t="shared" si="1"/>
        <v>2292965.27</v>
      </c>
      <c r="O7" s="5"/>
      <c r="P7" s="5"/>
      <c r="Q7" s="5"/>
      <c r="R7" s="9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9"/>
      <c r="O8" s="5"/>
      <c r="P8" s="5"/>
      <c r="Q8" s="5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3"/>
      <c r="B9" s="79">
        <v>2025.0</v>
      </c>
      <c r="C9" s="79">
        <v>2025.0</v>
      </c>
      <c r="D9" s="79">
        <v>2025.0</v>
      </c>
      <c r="E9" s="79">
        <v>2025.0</v>
      </c>
      <c r="F9" s="79">
        <v>2025.0</v>
      </c>
      <c r="G9" s="79">
        <v>2025.0</v>
      </c>
      <c r="H9" s="79">
        <v>2025.0</v>
      </c>
      <c r="I9" s="79">
        <v>2025.0</v>
      </c>
      <c r="J9" s="79">
        <v>2025.0</v>
      </c>
      <c r="K9" s="79">
        <v>2025.0</v>
      </c>
      <c r="L9" s="79">
        <v>2025.0</v>
      </c>
      <c r="M9" s="79">
        <v>2025.0</v>
      </c>
      <c r="N9" s="20"/>
      <c r="O9" s="5"/>
      <c r="P9" s="5"/>
      <c r="Q9" s="5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6" t="s">
        <v>17</v>
      </c>
      <c r="B10" s="7" t="s">
        <v>2</v>
      </c>
      <c r="C10" s="7" t="s">
        <v>3</v>
      </c>
      <c r="D10" s="7" t="s">
        <v>4</v>
      </c>
      <c r="E10" s="7" t="s">
        <v>5</v>
      </c>
      <c r="F10" s="7" t="s">
        <v>6</v>
      </c>
      <c r="G10" s="7" t="s">
        <v>7</v>
      </c>
      <c r="H10" s="7" t="s">
        <v>8</v>
      </c>
      <c r="I10" s="7" t="s">
        <v>9</v>
      </c>
      <c r="J10" s="7" t="s">
        <v>10</v>
      </c>
      <c r="K10" s="7" t="s">
        <v>11</v>
      </c>
      <c r="L10" s="7" t="s">
        <v>12</v>
      </c>
      <c r="M10" s="7" t="s">
        <v>13</v>
      </c>
      <c r="N10" s="8"/>
      <c r="O10" s="5"/>
      <c r="P10" s="5"/>
      <c r="Q10" s="5"/>
      <c r="R10" s="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1" t="s">
        <v>18</v>
      </c>
      <c r="B11" s="22">
        <v>69205.08</v>
      </c>
      <c r="C11" s="22">
        <v>42675.5</v>
      </c>
      <c r="D11" s="22">
        <v>30468.590000000004</v>
      </c>
      <c r="E11" s="22">
        <v>31875.57</v>
      </c>
      <c r="F11" s="22">
        <v>30000.410000000003</v>
      </c>
      <c r="G11" s="22">
        <v>27264.09</v>
      </c>
      <c r="H11" s="22">
        <v>41364.060000000005</v>
      </c>
      <c r="I11" s="22">
        <v>36706.85</v>
      </c>
      <c r="J11" s="76">
        <v>43070.939999999995</v>
      </c>
      <c r="K11" s="105">
        <v>17276.0</v>
      </c>
      <c r="L11" s="105">
        <v>15724.0</v>
      </c>
      <c r="M11" s="105">
        <v>13090.0</v>
      </c>
      <c r="N11" s="14">
        <f t="shared" ref="N11:N12" si="4">SUM(B11:M11)</f>
        <v>398721.09</v>
      </c>
      <c r="O11" s="5"/>
      <c r="P11" s="5"/>
      <c r="Q11" s="5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16" t="s">
        <v>19</v>
      </c>
      <c r="B12" s="24">
        <f t="shared" ref="B12:M12" si="3">B7-B11</f>
        <v>324070.92</v>
      </c>
      <c r="C12" s="24">
        <f t="shared" si="3"/>
        <v>200933.5</v>
      </c>
      <c r="D12" s="24">
        <f t="shared" si="3"/>
        <v>147175.41</v>
      </c>
      <c r="E12" s="24">
        <f t="shared" si="3"/>
        <v>147632.43</v>
      </c>
      <c r="F12" s="24">
        <f t="shared" si="3"/>
        <v>145224.59</v>
      </c>
      <c r="G12" s="24">
        <f t="shared" si="3"/>
        <v>131549.91</v>
      </c>
      <c r="H12" s="24">
        <f t="shared" si="3"/>
        <v>201545.72</v>
      </c>
      <c r="I12" s="24">
        <f t="shared" si="3"/>
        <v>184418.11</v>
      </c>
      <c r="J12" s="24">
        <f t="shared" si="3"/>
        <v>195756.76</v>
      </c>
      <c r="K12" s="24">
        <f t="shared" si="3"/>
        <v>87535.67</v>
      </c>
      <c r="L12" s="24">
        <f t="shared" si="3"/>
        <v>65052.01</v>
      </c>
      <c r="M12" s="24">
        <f t="shared" si="3"/>
        <v>63349.15</v>
      </c>
      <c r="N12" s="14">
        <f t="shared" si="4"/>
        <v>1894244.18</v>
      </c>
      <c r="O12" s="5"/>
      <c r="P12" s="5"/>
      <c r="Q12" s="5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18"/>
      <c r="B13" s="25"/>
      <c r="C13" s="25"/>
      <c r="D13" s="25"/>
      <c r="E13" s="25"/>
      <c r="F13" s="25"/>
      <c r="G13" s="25"/>
      <c r="H13" s="25"/>
      <c r="I13" s="25"/>
      <c r="J13" s="18"/>
      <c r="K13" s="18"/>
      <c r="L13" s="18"/>
      <c r="M13" s="18"/>
      <c r="N13" s="19"/>
      <c r="O13" s="5"/>
      <c r="P13" s="5"/>
      <c r="Q13" s="5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3"/>
      <c r="B14" s="79">
        <v>2025.0</v>
      </c>
      <c r="C14" s="79">
        <v>2025.0</v>
      </c>
      <c r="D14" s="79">
        <v>2025.0</v>
      </c>
      <c r="E14" s="79">
        <v>2025.0</v>
      </c>
      <c r="F14" s="79">
        <v>2025.0</v>
      </c>
      <c r="G14" s="79">
        <v>2025.0</v>
      </c>
      <c r="H14" s="79">
        <v>2025.0</v>
      </c>
      <c r="I14" s="79">
        <v>2025.0</v>
      </c>
      <c r="J14" s="79">
        <v>2025.0</v>
      </c>
      <c r="K14" s="79">
        <v>2025.0</v>
      </c>
      <c r="L14" s="79">
        <v>2025.0</v>
      </c>
      <c r="M14" s="79">
        <v>2025.0</v>
      </c>
      <c r="N14" s="20"/>
      <c r="O14" s="5"/>
      <c r="P14" s="5"/>
      <c r="Q14" s="5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6" t="s">
        <v>20</v>
      </c>
      <c r="B15" s="7" t="s">
        <v>2</v>
      </c>
      <c r="C15" s="7" t="s">
        <v>3</v>
      </c>
      <c r="D15" s="7" t="s">
        <v>4</v>
      </c>
      <c r="E15" s="7" t="s">
        <v>5</v>
      </c>
      <c r="F15" s="7" t="s">
        <v>6</v>
      </c>
      <c r="G15" s="7" t="s">
        <v>7</v>
      </c>
      <c r="H15" s="7" t="s">
        <v>8</v>
      </c>
      <c r="I15" s="7" t="s">
        <v>9</v>
      </c>
      <c r="J15" s="7" t="s">
        <v>10</v>
      </c>
      <c r="K15" s="7" t="s">
        <v>11</v>
      </c>
      <c r="L15" s="7" t="s">
        <v>12</v>
      </c>
      <c r="M15" s="7" t="s">
        <v>13</v>
      </c>
      <c r="N15" s="8"/>
      <c r="O15" s="5"/>
      <c r="P15" s="5"/>
      <c r="Q15" s="5"/>
      <c r="R15" s="9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10" t="s">
        <v>21</v>
      </c>
      <c r="B16" s="26"/>
      <c r="C16" s="26"/>
      <c r="D16" s="26"/>
      <c r="E16" s="26"/>
      <c r="F16" s="28"/>
      <c r="G16" s="28"/>
      <c r="H16" s="28"/>
      <c r="I16" s="26"/>
      <c r="J16" s="26"/>
      <c r="K16" s="106"/>
      <c r="L16" s="26"/>
      <c r="M16" s="29"/>
      <c r="N16" s="30"/>
      <c r="O16" s="5"/>
      <c r="P16" s="5"/>
      <c r="Q16" s="5"/>
      <c r="R16" s="9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31" t="s">
        <v>22</v>
      </c>
      <c r="B17" s="39">
        <v>24009.0</v>
      </c>
      <c r="C17" s="39">
        <v>21756.0</v>
      </c>
      <c r="D17" s="39">
        <v>19055.0</v>
      </c>
      <c r="E17" s="39">
        <v>19026.0</v>
      </c>
      <c r="F17" s="39">
        <v>16906.0</v>
      </c>
      <c r="G17" s="107">
        <v>16129.0</v>
      </c>
      <c r="H17" s="39">
        <v>18847.0</v>
      </c>
      <c r="I17" s="39">
        <v>15218.0</v>
      </c>
      <c r="J17" s="108">
        <v>22471.0</v>
      </c>
      <c r="K17" s="109">
        <v>12785.0</v>
      </c>
      <c r="L17" s="110">
        <v>13674.0</v>
      </c>
      <c r="M17" s="37">
        <v>15860.0</v>
      </c>
      <c r="N17" s="38"/>
      <c r="O17" s="5"/>
      <c r="P17" s="5"/>
      <c r="Q17" s="5"/>
      <c r="R17" s="9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31" t="s">
        <v>23</v>
      </c>
      <c r="B18" s="39">
        <v>170464.11</v>
      </c>
      <c r="C18" s="40">
        <v>88657.09</v>
      </c>
      <c r="D18" s="40">
        <v>70721.49</v>
      </c>
      <c r="E18" s="40">
        <v>80695.71</v>
      </c>
      <c r="F18" s="39">
        <v>81105.26</v>
      </c>
      <c r="G18" s="107">
        <v>79540.29</v>
      </c>
      <c r="H18" s="39">
        <v>125580.72</v>
      </c>
      <c r="I18" s="39">
        <v>120024.64</v>
      </c>
      <c r="J18" s="108">
        <v>138251.18</v>
      </c>
      <c r="K18" s="109">
        <v>57884.0</v>
      </c>
      <c r="L18" s="110">
        <v>37690.0</v>
      </c>
      <c r="M18" s="37">
        <v>28895.0</v>
      </c>
      <c r="N18" s="42">
        <f>SUM(B18:M18)</f>
        <v>1079509.49</v>
      </c>
      <c r="O18" s="5"/>
      <c r="P18" s="5"/>
      <c r="Q18" s="5"/>
      <c r="R18" s="9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31" t="s">
        <v>24</v>
      </c>
      <c r="B19" s="43"/>
      <c r="C19" s="43"/>
      <c r="D19" s="43"/>
      <c r="E19" s="43"/>
      <c r="F19" s="43"/>
      <c r="G19" s="43"/>
      <c r="H19" s="43"/>
      <c r="I19" s="43"/>
      <c r="J19" s="43"/>
      <c r="K19" s="111"/>
      <c r="L19" s="43"/>
      <c r="M19" s="34"/>
      <c r="N19" s="38"/>
      <c r="O19" s="5"/>
      <c r="P19" s="5"/>
      <c r="Q19" s="5"/>
      <c r="R19" s="9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31" t="s">
        <v>25</v>
      </c>
      <c r="B20" s="43"/>
      <c r="C20" s="43"/>
      <c r="D20" s="43"/>
      <c r="E20" s="43"/>
      <c r="F20" s="43"/>
      <c r="G20" s="43"/>
      <c r="H20" s="54"/>
      <c r="I20" s="43"/>
      <c r="J20" s="43"/>
      <c r="K20" s="111"/>
      <c r="L20" s="112"/>
      <c r="M20" s="37"/>
      <c r="N20" s="38"/>
      <c r="O20" s="5"/>
      <c r="P20" s="5"/>
      <c r="Q20" s="5"/>
      <c r="R20" s="9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31" t="s">
        <v>26</v>
      </c>
      <c r="B21" s="39">
        <v>15812.960000000001</v>
      </c>
      <c r="C21" s="39">
        <v>9806.0</v>
      </c>
      <c r="D21" s="39">
        <v>7169.08</v>
      </c>
      <c r="E21" s="39">
        <v>7264.84</v>
      </c>
      <c r="F21" s="39">
        <v>7058.92</v>
      </c>
      <c r="G21" s="39">
        <v>6415.08</v>
      </c>
      <c r="H21" s="39">
        <v>9732.72</v>
      </c>
      <c r="I21" s="39">
        <v>8872.2</v>
      </c>
      <c r="J21" s="113">
        <v>9571.32</v>
      </c>
      <c r="K21" s="109">
        <v>4202.36</v>
      </c>
      <c r="L21" s="109">
        <v>3232.2400000000002</v>
      </c>
      <c r="M21" s="109">
        <v>3072.12</v>
      </c>
      <c r="N21" s="46"/>
      <c r="O21" s="5"/>
      <c r="P21" s="5"/>
      <c r="Q21" s="5"/>
      <c r="R21" s="9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31" t="s">
        <v>27</v>
      </c>
      <c r="B22" s="40">
        <v>1626.0</v>
      </c>
      <c r="C22" s="40">
        <v>1471.0</v>
      </c>
      <c r="D22" s="40">
        <v>1725.0</v>
      </c>
      <c r="E22" s="40">
        <v>2070.0</v>
      </c>
      <c r="F22" s="39">
        <v>2054.0</v>
      </c>
      <c r="G22" s="39">
        <v>2043.0</v>
      </c>
      <c r="H22" s="114">
        <v>2005.0</v>
      </c>
      <c r="I22" s="39">
        <v>2213.0</v>
      </c>
      <c r="J22" s="108">
        <v>2399.2</v>
      </c>
      <c r="K22" s="109">
        <v>2198.0</v>
      </c>
      <c r="L22" s="115">
        <v>2272.0</v>
      </c>
      <c r="M22" s="35">
        <v>2277.0</v>
      </c>
      <c r="N22" s="48"/>
      <c r="O22" s="5"/>
      <c r="P22" s="5"/>
      <c r="Q22" s="5"/>
      <c r="R22" s="9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31" t="s">
        <v>28</v>
      </c>
      <c r="B23" s="43"/>
      <c r="C23" s="43"/>
      <c r="D23" s="43"/>
      <c r="E23" s="43"/>
      <c r="F23" s="43"/>
      <c r="G23" s="43"/>
      <c r="H23" s="43"/>
      <c r="I23" s="43"/>
      <c r="J23" s="113"/>
      <c r="K23" s="111"/>
      <c r="L23" s="116"/>
      <c r="M23" s="29"/>
      <c r="N23" s="30"/>
      <c r="O23" s="5"/>
      <c r="P23" s="5"/>
      <c r="Q23" s="5"/>
      <c r="R23" s="9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31" t="s">
        <v>29</v>
      </c>
      <c r="B24" s="43"/>
      <c r="C24" s="43"/>
      <c r="D24" s="43"/>
      <c r="E24" s="43"/>
      <c r="F24" s="43"/>
      <c r="G24" s="43"/>
      <c r="H24" s="43"/>
      <c r="I24" s="43"/>
      <c r="J24" s="113"/>
      <c r="K24" s="111"/>
      <c r="L24" s="116"/>
      <c r="M24" s="34"/>
      <c r="N24" s="38"/>
      <c r="O24" s="5"/>
      <c r="P24" s="5"/>
      <c r="Q24" s="5"/>
      <c r="R24" s="9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31" t="s">
        <v>30</v>
      </c>
      <c r="B25" s="51">
        <v>500.0</v>
      </c>
      <c r="C25" s="51">
        <v>500.0</v>
      </c>
      <c r="D25" s="51">
        <v>500.0</v>
      </c>
      <c r="E25" s="51">
        <v>500.0</v>
      </c>
      <c r="F25" s="51">
        <v>500.0</v>
      </c>
      <c r="G25" s="51">
        <v>500.0</v>
      </c>
      <c r="H25" s="51">
        <v>500.0</v>
      </c>
      <c r="I25" s="51">
        <v>500.0</v>
      </c>
      <c r="J25" s="112">
        <v>200.0</v>
      </c>
      <c r="K25" s="112">
        <v>200.0</v>
      </c>
      <c r="L25" s="112">
        <v>200.0</v>
      </c>
      <c r="M25" s="112">
        <v>200.0</v>
      </c>
      <c r="N25" s="38"/>
      <c r="O25" s="5"/>
      <c r="P25" s="5"/>
      <c r="Q25" s="5"/>
      <c r="R25" s="9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31" t="s">
        <v>31</v>
      </c>
      <c r="B26" s="43"/>
      <c r="C26" s="43"/>
      <c r="D26" s="43"/>
      <c r="E26" s="43"/>
      <c r="F26" s="43"/>
      <c r="G26" s="43"/>
      <c r="H26" s="43"/>
      <c r="I26" s="43"/>
      <c r="J26" s="43"/>
      <c r="K26" s="117"/>
      <c r="L26" s="43"/>
      <c r="M26" s="34"/>
      <c r="N26" s="38"/>
      <c r="O26" s="5"/>
      <c r="P26" s="5"/>
      <c r="Q26" s="5"/>
      <c r="R26" s="9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15" t="s">
        <v>32</v>
      </c>
      <c r="B27" s="118">
        <v>1489.0</v>
      </c>
      <c r="C27" s="118">
        <v>1262.0</v>
      </c>
      <c r="D27" s="118">
        <v>1690.0</v>
      </c>
      <c r="E27" s="118">
        <v>1149.0</v>
      </c>
      <c r="F27" s="118">
        <v>1030.0</v>
      </c>
      <c r="G27" s="55">
        <v>989.0</v>
      </c>
      <c r="H27" s="55">
        <v>1120.0</v>
      </c>
      <c r="I27" s="55">
        <v>965.0</v>
      </c>
      <c r="J27" s="56">
        <v>899.4</v>
      </c>
      <c r="K27" s="35">
        <v>340.44</v>
      </c>
      <c r="L27" s="57">
        <v>432.89</v>
      </c>
      <c r="M27" s="56">
        <v>320.89</v>
      </c>
      <c r="N27" s="46"/>
      <c r="O27" s="5"/>
      <c r="P27" s="5"/>
      <c r="Q27" s="5"/>
      <c r="R27" s="9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16" t="s">
        <v>33</v>
      </c>
      <c r="B28" s="24">
        <f t="shared" ref="B28:M28" si="5">SUM(B16:B27)</f>
        <v>213901.07</v>
      </c>
      <c r="C28" s="24">
        <f t="shared" si="5"/>
        <v>123452.09</v>
      </c>
      <c r="D28" s="24">
        <f t="shared" si="5"/>
        <v>100860.57</v>
      </c>
      <c r="E28" s="24">
        <f t="shared" si="5"/>
        <v>110705.55</v>
      </c>
      <c r="F28" s="24">
        <f t="shared" si="5"/>
        <v>108654.18</v>
      </c>
      <c r="G28" s="24">
        <f t="shared" si="5"/>
        <v>105616.37</v>
      </c>
      <c r="H28" s="24">
        <f t="shared" si="5"/>
        <v>157785.44</v>
      </c>
      <c r="I28" s="24">
        <f t="shared" si="5"/>
        <v>147792.84</v>
      </c>
      <c r="J28" s="24">
        <f t="shared" si="5"/>
        <v>173792.1</v>
      </c>
      <c r="K28" s="24">
        <f t="shared" si="5"/>
        <v>77609.8</v>
      </c>
      <c r="L28" s="24">
        <f t="shared" si="5"/>
        <v>57501.13</v>
      </c>
      <c r="M28" s="24">
        <f t="shared" si="5"/>
        <v>50625.01</v>
      </c>
      <c r="N28" s="14">
        <f>SUM(B28:M28)</f>
        <v>1428296.15</v>
      </c>
      <c r="O28" s="5"/>
      <c r="P28" s="5"/>
      <c r="Q28" s="5"/>
      <c r="R28" s="9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58"/>
      <c r="B29" s="58"/>
      <c r="C29" s="58"/>
      <c r="D29" s="59"/>
      <c r="E29" s="60"/>
      <c r="F29" s="60"/>
      <c r="G29" s="60"/>
      <c r="H29" s="60"/>
      <c r="I29" s="60"/>
      <c r="J29" s="61"/>
      <c r="K29" s="58"/>
      <c r="L29" s="58"/>
      <c r="M29" s="58"/>
      <c r="N29" s="62"/>
      <c r="O29" s="5"/>
      <c r="P29" s="5"/>
      <c r="Q29" s="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6" t="s">
        <v>34</v>
      </c>
      <c r="B30" s="7" t="s">
        <v>2</v>
      </c>
      <c r="C30" s="7" t="s">
        <v>3</v>
      </c>
      <c r="D30" s="7" t="s">
        <v>4</v>
      </c>
      <c r="E30" s="7" t="s">
        <v>5</v>
      </c>
      <c r="F30" s="7" t="s">
        <v>6</v>
      </c>
      <c r="G30" s="7" t="s">
        <v>7</v>
      </c>
      <c r="H30" s="7" t="s">
        <v>8</v>
      </c>
      <c r="I30" s="7" t="s">
        <v>9</v>
      </c>
      <c r="J30" s="7" t="s">
        <v>10</v>
      </c>
      <c r="K30" s="7" t="s">
        <v>11</v>
      </c>
      <c r="L30" s="7" t="s">
        <v>12</v>
      </c>
      <c r="M30" s="7" t="s">
        <v>13</v>
      </c>
      <c r="N30" s="8"/>
      <c r="O30" s="5"/>
      <c r="P30" s="5"/>
      <c r="Q30" s="5"/>
      <c r="R30" s="9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16" t="s">
        <v>35</v>
      </c>
      <c r="B31" s="24">
        <f t="shared" ref="B31:M31" si="6">B7-B11-B28</f>
        <v>110169.85</v>
      </c>
      <c r="C31" s="24">
        <f t="shared" si="6"/>
        <v>77481.41</v>
      </c>
      <c r="D31" s="24">
        <f t="shared" si="6"/>
        <v>46314.84</v>
      </c>
      <c r="E31" s="24">
        <f t="shared" si="6"/>
        <v>36926.88</v>
      </c>
      <c r="F31" s="24">
        <f t="shared" si="6"/>
        <v>36570.41</v>
      </c>
      <c r="G31" s="24">
        <f t="shared" si="6"/>
        <v>25933.54</v>
      </c>
      <c r="H31" s="24">
        <f t="shared" si="6"/>
        <v>43760.28</v>
      </c>
      <c r="I31" s="24">
        <f t="shared" si="6"/>
        <v>36625.27</v>
      </c>
      <c r="J31" s="24">
        <f t="shared" si="6"/>
        <v>21964.66</v>
      </c>
      <c r="K31" s="24">
        <f t="shared" si="6"/>
        <v>9925.87</v>
      </c>
      <c r="L31" s="24">
        <f t="shared" si="6"/>
        <v>7550.88</v>
      </c>
      <c r="M31" s="24">
        <f t="shared" si="6"/>
        <v>12724.14</v>
      </c>
      <c r="N31" s="14">
        <f>SUM(B31:M31)</f>
        <v>465948.03</v>
      </c>
      <c r="O31" s="5"/>
      <c r="P31" s="5"/>
      <c r="Q31" s="5"/>
      <c r="R31" s="9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18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5"/>
      <c r="P32" s="5"/>
      <c r="Q32" s="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63"/>
      <c r="B33" s="64"/>
      <c r="C33" s="65"/>
      <c r="D33" s="65"/>
      <c r="E33" s="65"/>
      <c r="F33" s="65"/>
      <c r="G33" s="65"/>
      <c r="H33" s="65"/>
      <c r="I33" s="66"/>
      <c r="J33" s="66"/>
      <c r="K33" s="66"/>
      <c r="L33" s="66"/>
      <c r="M33" s="66"/>
      <c r="N33" s="2"/>
      <c r="O33" s="66"/>
      <c r="P33" s="66"/>
      <c r="Q33" s="6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63"/>
      <c r="B34" s="64"/>
      <c r="C34" s="67"/>
      <c r="D34" s="67"/>
      <c r="E34" s="67"/>
      <c r="F34" s="67"/>
      <c r="G34" s="67"/>
      <c r="H34" s="67"/>
      <c r="I34" s="66"/>
      <c r="J34" s="66"/>
      <c r="K34" s="66"/>
      <c r="L34" s="66"/>
      <c r="M34" s="66"/>
      <c r="N34" s="66"/>
      <c r="O34" s="66"/>
      <c r="P34" s="66"/>
      <c r="Q34" s="6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68"/>
      <c r="B35" s="68"/>
      <c r="C35" s="68"/>
      <c r="D35" s="68"/>
      <c r="E35" s="68"/>
      <c r="F35" s="68"/>
      <c r="G35" s="68"/>
      <c r="H35" s="6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69" t="s">
        <v>36</v>
      </c>
      <c r="B37" s="7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71"/>
      <c r="B38" s="72"/>
      <c r="C38" s="65"/>
      <c r="D38" s="65"/>
      <c r="E38" s="65"/>
      <c r="F38" s="65"/>
      <c r="G38" s="65"/>
      <c r="H38" s="6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73"/>
      <c r="B39" s="7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73"/>
      <c r="B40" s="7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73"/>
      <c r="B41" s="7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73"/>
      <c r="B42" s="7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7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59"/>
      <c r="B48" s="7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59"/>
      <c r="B49" s="7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58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59"/>
      <c r="B51" s="76"/>
      <c r="C51" s="9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59"/>
      <c r="B52" s="77"/>
      <c r="C52" s="9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18"/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78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78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78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78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78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78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78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78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78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78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78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78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78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78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78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78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78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78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78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78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78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78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78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78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78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78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78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78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78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78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78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78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78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78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78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78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78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78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78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78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78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78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78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78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78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78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78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78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78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78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78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78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78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78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78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78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78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78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78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78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78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78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78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78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78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78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78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78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78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78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78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78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78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78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78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78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78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78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78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78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78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78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78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78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78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78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78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78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78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78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78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78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78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78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78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78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78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78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78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78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78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78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78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78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78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78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78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78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78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78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78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78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78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78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78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78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78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78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78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78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78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78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78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78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78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78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78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78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78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78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78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78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78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78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78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78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78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78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78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78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78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78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78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78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78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78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78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78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78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78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78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78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78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78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78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78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78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78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78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78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78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78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78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78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78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78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78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78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78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78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78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78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78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78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78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78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78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78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78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78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78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78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78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78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78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78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78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78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78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78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78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78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78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78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78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78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78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78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78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78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78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78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78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78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78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78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78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78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78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78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78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78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78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78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78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78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78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78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78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78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78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78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78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78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78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78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78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78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78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78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78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78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78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78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78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78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78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78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78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78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78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78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78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78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78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78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78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78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78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78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78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78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78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78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78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78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78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78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78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78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78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78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78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78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78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78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78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78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78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78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78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78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78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78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78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78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78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78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78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78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78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78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78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78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78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78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78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78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78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78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78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78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78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78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78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78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78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78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78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78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78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78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78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78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78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78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78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78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78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78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78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78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78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78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78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78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78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78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78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78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78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78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78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78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78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78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78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78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78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78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78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78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78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78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78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78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78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78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78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78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78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78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78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78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78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78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78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78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78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78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78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78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78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78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78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78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78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78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78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78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78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78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78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78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78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78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78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78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78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78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78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78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78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78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78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78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78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78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78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78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78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78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78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78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78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78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78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78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78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78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78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78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78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78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78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78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78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78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78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78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78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78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78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78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78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78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78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78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78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78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78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78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78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78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78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78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78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78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78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78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78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78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78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78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78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78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78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78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78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78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78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78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78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78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78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78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78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78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78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78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78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78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78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78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78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78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78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78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78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78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78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78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78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78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78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78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78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78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78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78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78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78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78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78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78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78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78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78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78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78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78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78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78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78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78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78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78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78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78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78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78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78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78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78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78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78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78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78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78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78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78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78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78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78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78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78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78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78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78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78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78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78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78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78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78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78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78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78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78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78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78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78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78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78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78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78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78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78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78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78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78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78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78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78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78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78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78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78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78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78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78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78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78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78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78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78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78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78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78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78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78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78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78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78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78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78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78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78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78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78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78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78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78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78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78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78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78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78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78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78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78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78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78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78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78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78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78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78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78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78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78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78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78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78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78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78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78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78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78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78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78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78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78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78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78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78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78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78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78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78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78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78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78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78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78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78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78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78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78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78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78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78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78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78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78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78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78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78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78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78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78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78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78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78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78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78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78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78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78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78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78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78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78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78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78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78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78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78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78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78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78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78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78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78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78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78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78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78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78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78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78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78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78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78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78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78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78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78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78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78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78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78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78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78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78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78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78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78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78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78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78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78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78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78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78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78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78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78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78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78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78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78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78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78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78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78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78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78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78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78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78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78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78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78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78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78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78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78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78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78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78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78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78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78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78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78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78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78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78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78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78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78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78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78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78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78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78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78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78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78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78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78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78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78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78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78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78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78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78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78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78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78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78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78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78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78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78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78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78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78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78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78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78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78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78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78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78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78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78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78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78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78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78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78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78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78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78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78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78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78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78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78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78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78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78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78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78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78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78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78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78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</sheetData>
  <mergeCells count="1">
    <mergeCell ref="A37:B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1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3"/>
      <c r="B3" s="4">
        <v>2026.0</v>
      </c>
      <c r="C3" s="4">
        <v>2026.0</v>
      </c>
      <c r="D3" s="4">
        <v>2026.0</v>
      </c>
      <c r="E3" s="4">
        <v>2026.0</v>
      </c>
      <c r="F3" s="4">
        <v>2026.0</v>
      </c>
      <c r="G3" s="4">
        <v>2026.0</v>
      </c>
      <c r="H3" s="4">
        <v>2026.0</v>
      </c>
      <c r="I3" s="4">
        <v>2026.0</v>
      </c>
      <c r="J3" s="4">
        <v>2026.0</v>
      </c>
      <c r="K3" s="4">
        <v>2026.0</v>
      </c>
      <c r="L3" s="4">
        <v>2026.0</v>
      </c>
      <c r="M3" s="4">
        <v>2026.0</v>
      </c>
      <c r="N3" s="2"/>
      <c r="O3" s="5"/>
      <c r="P3" s="5"/>
      <c r="Q3" s="5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8"/>
      <c r="O4" s="5"/>
      <c r="P4" s="5"/>
      <c r="Q4" s="5"/>
      <c r="R4" s="9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0" t="s">
        <v>14</v>
      </c>
      <c r="B5" s="12">
        <v>39864.0</v>
      </c>
      <c r="C5" s="12">
        <v>34644.0</v>
      </c>
      <c r="D5" s="12"/>
      <c r="E5" s="12"/>
      <c r="F5" s="103"/>
      <c r="G5" s="103"/>
      <c r="H5" s="103"/>
      <c r="I5" s="103"/>
      <c r="J5" s="13"/>
      <c r="K5" s="13"/>
      <c r="L5" s="13"/>
      <c r="M5" s="13"/>
      <c r="N5" s="14">
        <f t="shared" ref="N5:N7" si="1">SUM(B5:M5)</f>
        <v>74508</v>
      </c>
      <c r="O5" s="5"/>
      <c r="P5" s="5"/>
      <c r="Q5" s="5"/>
      <c r="R5" s="9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5" t="s">
        <v>15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04"/>
      <c r="M6" s="11"/>
      <c r="N6" s="14">
        <f t="shared" si="1"/>
        <v>0</v>
      </c>
      <c r="O6" s="5"/>
      <c r="P6" s="5"/>
      <c r="Q6" s="5"/>
      <c r="R6" s="9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16" t="s">
        <v>16</v>
      </c>
      <c r="B7" s="17">
        <f t="shared" ref="B7:M7" si="2">B5-B6</f>
        <v>39864</v>
      </c>
      <c r="C7" s="17">
        <f t="shared" si="2"/>
        <v>34644</v>
      </c>
      <c r="D7" s="17">
        <f t="shared" si="2"/>
        <v>0</v>
      </c>
      <c r="E7" s="17">
        <f t="shared" si="2"/>
        <v>0</v>
      </c>
      <c r="F7" s="17">
        <f t="shared" si="2"/>
        <v>0</v>
      </c>
      <c r="G7" s="17">
        <f t="shared" si="2"/>
        <v>0</v>
      </c>
      <c r="H7" s="17">
        <f t="shared" si="2"/>
        <v>0</v>
      </c>
      <c r="I7" s="17">
        <f t="shared" si="2"/>
        <v>0</v>
      </c>
      <c r="J7" s="17">
        <f t="shared" si="2"/>
        <v>0</v>
      </c>
      <c r="K7" s="17">
        <f t="shared" si="2"/>
        <v>0</v>
      </c>
      <c r="L7" s="17">
        <f t="shared" si="2"/>
        <v>0</v>
      </c>
      <c r="M7" s="17">
        <f t="shared" si="2"/>
        <v>0</v>
      </c>
      <c r="N7" s="14">
        <f t="shared" si="1"/>
        <v>74508</v>
      </c>
      <c r="O7" s="5"/>
      <c r="P7" s="5"/>
      <c r="Q7" s="5"/>
      <c r="R7" s="9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9"/>
      <c r="O8" s="5"/>
      <c r="P8" s="5"/>
      <c r="Q8" s="5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3"/>
      <c r="B9" s="4">
        <v>2026.0</v>
      </c>
      <c r="C9" s="4">
        <v>2026.0</v>
      </c>
      <c r="D9" s="4">
        <v>2026.0</v>
      </c>
      <c r="E9" s="4">
        <v>2026.0</v>
      </c>
      <c r="F9" s="4">
        <v>2026.0</v>
      </c>
      <c r="G9" s="4">
        <v>2026.0</v>
      </c>
      <c r="H9" s="4">
        <v>2026.0</v>
      </c>
      <c r="I9" s="4">
        <v>2026.0</v>
      </c>
      <c r="J9" s="4">
        <v>2026.0</v>
      </c>
      <c r="K9" s="4">
        <v>2026.0</v>
      </c>
      <c r="L9" s="4">
        <v>2026.0</v>
      </c>
      <c r="M9" s="4">
        <v>2026.0</v>
      </c>
      <c r="N9" s="20"/>
      <c r="O9" s="5"/>
      <c r="P9" s="5"/>
      <c r="Q9" s="5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6" t="s">
        <v>17</v>
      </c>
      <c r="B10" s="7" t="s">
        <v>2</v>
      </c>
      <c r="C10" s="7" t="s">
        <v>3</v>
      </c>
      <c r="D10" s="7" t="s">
        <v>4</v>
      </c>
      <c r="E10" s="7" t="s">
        <v>5</v>
      </c>
      <c r="F10" s="7" t="s">
        <v>6</v>
      </c>
      <c r="G10" s="7" t="s">
        <v>7</v>
      </c>
      <c r="H10" s="7" t="s">
        <v>8</v>
      </c>
      <c r="I10" s="7" t="s">
        <v>9</v>
      </c>
      <c r="J10" s="7" t="s">
        <v>10</v>
      </c>
      <c r="K10" s="7" t="s">
        <v>11</v>
      </c>
      <c r="L10" s="7" t="s">
        <v>12</v>
      </c>
      <c r="M10" s="7" t="s">
        <v>13</v>
      </c>
      <c r="N10" s="8"/>
      <c r="O10" s="5"/>
      <c r="P10" s="5"/>
      <c r="Q10" s="5"/>
      <c r="R10" s="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1" t="s">
        <v>18</v>
      </c>
      <c r="B11" s="22">
        <v>6642.0</v>
      </c>
      <c r="C11" s="22">
        <v>5889.4800000000005</v>
      </c>
      <c r="D11" s="22"/>
      <c r="E11" s="22"/>
      <c r="F11" s="22"/>
      <c r="G11" s="22"/>
      <c r="H11" s="22"/>
      <c r="I11" s="22"/>
      <c r="J11" s="76"/>
      <c r="K11" s="105"/>
      <c r="L11" s="105"/>
      <c r="M11" s="105"/>
      <c r="N11" s="14">
        <f t="shared" ref="N11:N12" si="4">SUM(B11:M11)</f>
        <v>12531.48</v>
      </c>
      <c r="O11" s="5"/>
      <c r="P11" s="5"/>
      <c r="Q11" s="5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16" t="s">
        <v>19</v>
      </c>
      <c r="B12" s="24">
        <f t="shared" ref="B12:M12" si="3">B7-B11</f>
        <v>33222</v>
      </c>
      <c r="C12" s="24">
        <f t="shared" si="3"/>
        <v>28754.52</v>
      </c>
      <c r="D12" s="24">
        <f t="shared" si="3"/>
        <v>0</v>
      </c>
      <c r="E12" s="24">
        <f t="shared" si="3"/>
        <v>0</v>
      </c>
      <c r="F12" s="24">
        <f t="shared" si="3"/>
        <v>0</v>
      </c>
      <c r="G12" s="24">
        <f t="shared" si="3"/>
        <v>0</v>
      </c>
      <c r="H12" s="24">
        <f t="shared" si="3"/>
        <v>0</v>
      </c>
      <c r="I12" s="24">
        <f t="shared" si="3"/>
        <v>0</v>
      </c>
      <c r="J12" s="24">
        <f t="shared" si="3"/>
        <v>0</v>
      </c>
      <c r="K12" s="24">
        <f t="shared" si="3"/>
        <v>0</v>
      </c>
      <c r="L12" s="24">
        <f t="shared" si="3"/>
        <v>0</v>
      </c>
      <c r="M12" s="24">
        <f t="shared" si="3"/>
        <v>0</v>
      </c>
      <c r="N12" s="14">
        <f t="shared" si="4"/>
        <v>61976.52</v>
      </c>
      <c r="O12" s="5"/>
      <c r="P12" s="5"/>
      <c r="Q12" s="5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18"/>
      <c r="B13" s="25"/>
      <c r="C13" s="25"/>
      <c r="D13" s="25"/>
      <c r="E13" s="25"/>
      <c r="F13" s="25"/>
      <c r="G13" s="25"/>
      <c r="H13" s="25"/>
      <c r="I13" s="25"/>
      <c r="J13" s="18"/>
      <c r="K13" s="18"/>
      <c r="L13" s="18"/>
      <c r="M13" s="18"/>
      <c r="N13" s="19"/>
      <c r="O13" s="5"/>
      <c r="P13" s="5"/>
      <c r="Q13" s="5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3"/>
      <c r="B14" s="4">
        <v>2026.0</v>
      </c>
      <c r="C14" s="4">
        <v>2026.0</v>
      </c>
      <c r="D14" s="4">
        <v>2026.0</v>
      </c>
      <c r="E14" s="4">
        <v>2026.0</v>
      </c>
      <c r="F14" s="4">
        <v>2026.0</v>
      </c>
      <c r="G14" s="4">
        <v>2026.0</v>
      </c>
      <c r="H14" s="4">
        <v>2026.0</v>
      </c>
      <c r="I14" s="4">
        <v>2026.0</v>
      </c>
      <c r="J14" s="4">
        <v>2026.0</v>
      </c>
      <c r="K14" s="4">
        <v>2026.0</v>
      </c>
      <c r="L14" s="4">
        <v>2026.0</v>
      </c>
      <c r="M14" s="4">
        <v>2026.0</v>
      </c>
      <c r="N14" s="20"/>
      <c r="O14" s="5"/>
      <c r="P14" s="5"/>
      <c r="Q14" s="5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6" t="s">
        <v>20</v>
      </c>
      <c r="B15" s="7" t="s">
        <v>2</v>
      </c>
      <c r="C15" s="7" t="s">
        <v>3</v>
      </c>
      <c r="D15" s="7" t="s">
        <v>4</v>
      </c>
      <c r="E15" s="7" t="s">
        <v>5</v>
      </c>
      <c r="F15" s="7" t="s">
        <v>6</v>
      </c>
      <c r="G15" s="7" t="s">
        <v>7</v>
      </c>
      <c r="H15" s="7" t="s">
        <v>8</v>
      </c>
      <c r="I15" s="7" t="s">
        <v>9</v>
      </c>
      <c r="J15" s="7" t="s">
        <v>10</v>
      </c>
      <c r="K15" s="7" t="s">
        <v>11</v>
      </c>
      <c r="L15" s="7" t="s">
        <v>12</v>
      </c>
      <c r="M15" s="7" t="s">
        <v>13</v>
      </c>
      <c r="N15" s="8"/>
      <c r="O15" s="5"/>
      <c r="P15" s="5"/>
      <c r="Q15" s="5"/>
      <c r="R15" s="9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10" t="s">
        <v>21</v>
      </c>
      <c r="B16" s="26"/>
      <c r="C16" s="26"/>
      <c r="D16" s="26"/>
      <c r="E16" s="26"/>
      <c r="F16" s="28"/>
      <c r="G16" s="28"/>
      <c r="H16" s="28"/>
      <c r="I16" s="26"/>
      <c r="J16" s="26"/>
      <c r="K16" s="106"/>
      <c r="L16" s="26"/>
      <c r="M16" s="29"/>
      <c r="N16" s="30"/>
      <c r="O16" s="5"/>
      <c r="P16" s="5"/>
      <c r="Q16" s="5"/>
      <c r="R16" s="9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31" t="s">
        <v>22</v>
      </c>
      <c r="B17" s="39">
        <v>6976.0</v>
      </c>
      <c r="C17" s="39">
        <v>5992.0</v>
      </c>
      <c r="D17" s="39"/>
      <c r="E17" s="39"/>
      <c r="F17" s="39"/>
      <c r="G17" s="107"/>
      <c r="H17" s="39"/>
      <c r="I17" s="39"/>
      <c r="J17" s="108"/>
      <c r="K17" s="109"/>
      <c r="L17" s="110"/>
      <c r="M17" s="37"/>
      <c r="N17" s="38"/>
      <c r="O17" s="5"/>
      <c r="P17" s="5"/>
      <c r="Q17" s="5"/>
      <c r="R17" s="9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31" t="s">
        <v>23</v>
      </c>
      <c r="B18" s="39">
        <v>15361.0</v>
      </c>
      <c r="C18" s="40">
        <v>13734.26</v>
      </c>
      <c r="D18" s="40"/>
      <c r="E18" s="40"/>
      <c r="F18" s="39"/>
      <c r="G18" s="107"/>
      <c r="H18" s="39"/>
      <c r="I18" s="39"/>
      <c r="J18" s="108"/>
      <c r="K18" s="109"/>
      <c r="L18" s="110"/>
      <c r="M18" s="37"/>
      <c r="N18" s="42"/>
      <c r="O18" s="5"/>
      <c r="P18" s="5"/>
      <c r="Q18" s="5"/>
      <c r="R18" s="9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31" t="s">
        <v>24</v>
      </c>
      <c r="B19" s="43"/>
      <c r="C19" s="43"/>
      <c r="D19" s="43"/>
      <c r="E19" s="43"/>
      <c r="F19" s="43"/>
      <c r="G19" s="43"/>
      <c r="H19" s="43"/>
      <c r="I19" s="43"/>
      <c r="J19" s="43"/>
      <c r="K19" s="111"/>
      <c r="L19" s="43"/>
      <c r="M19" s="34"/>
      <c r="N19" s="38"/>
      <c r="O19" s="5"/>
      <c r="P19" s="5"/>
      <c r="Q19" s="5"/>
      <c r="R19" s="9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31" t="s">
        <v>25</v>
      </c>
      <c r="B20" s="43"/>
      <c r="C20" s="43"/>
      <c r="D20" s="43"/>
      <c r="E20" s="43"/>
      <c r="F20" s="43"/>
      <c r="G20" s="43"/>
      <c r="H20" s="54"/>
      <c r="I20" s="43"/>
      <c r="J20" s="43"/>
      <c r="K20" s="111"/>
      <c r="L20" s="112"/>
      <c r="M20" s="37"/>
      <c r="N20" s="38"/>
      <c r="O20" s="5"/>
      <c r="P20" s="5"/>
      <c r="Q20" s="5"/>
      <c r="R20" s="9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31" t="s">
        <v>26</v>
      </c>
      <c r="B21" s="39">
        <v>1594.56</v>
      </c>
      <c r="C21" s="39">
        <v>1039.32</v>
      </c>
      <c r="D21" s="39"/>
      <c r="E21" s="39"/>
      <c r="F21" s="39"/>
      <c r="G21" s="39"/>
      <c r="H21" s="39"/>
      <c r="I21" s="39"/>
      <c r="J21" s="113"/>
      <c r="K21" s="109"/>
      <c r="L21" s="110"/>
      <c r="M21" s="56"/>
      <c r="N21" s="46"/>
      <c r="O21" s="5"/>
      <c r="P21" s="5"/>
      <c r="Q21" s="5"/>
      <c r="R21" s="9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31" t="s">
        <v>27</v>
      </c>
      <c r="B22" s="40">
        <v>1801.0</v>
      </c>
      <c r="C22" s="40">
        <v>1254.77</v>
      </c>
      <c r="D22" s="40"/>
      <c r="E22" s="40"/>
      <c r="F22" s="39"/>
      <c r="G22" s="39"/>
      <c r="H22" s="114"/>
      <c r="I22" s="39"/>
      <c r="J22" s="108"/>
      <c r="K22" s="109"/>
      <c r="L22" s="115"/>
      <c r="M22" s="35"/>
      <c r="N22" s="48"/>
      <c r="O22" s="5"/>
      <c r="P22" s="5"/>
      <c r="Q22" s="5"/>
      <c r="R22" s="9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31" t="s">
        <v>28</v>
      </c>
      <c r="B23" s="43"/>
      <c r="C23" s="43"/>
      <c r="D23" s="43"/>
      <c r="E23" s="43"/>
      <c r="F23" s="43"/>
      <c r="G23" s="43"/>
      <c r="H23" s="43"/>
      <c r="I23" s="43"/>
      <c r="J23" s="113"/>
      <c r="K23" s="111"/>
      <c r="L23" s="116"/>
      <c r="M23" s="29"/>
      <c r="N23" s="30"/>
      <c r="O23" s="5"/>
      <c r="P23" s="5"/>
      <c r="Q23" s="5"/>
      <c r="R23" s="9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31" t="s">
        <v>29</v>
      </c>
      <c r="B24" s="43"/>
      <c r="C24" s="43"/>
      <c r="D24" s="43"/>
      <c r="E24" s="43"/>
      <c r="F24" s="43"/>
      <c r="G24" s="43"/>
      <c r="H24" s="43"/>
      <c r="I24" s="43"/>
      <c r="J24" s="113"/>
      <c r="K24" s="111"/>
      <c r="L24" s="116"/>
      <c r="M24" s="34"/>
      <c r="N24" s="38"/>
      <c r="O24" s="5"/>
      <c r="P24" s="5"/>
      <c r="Q24" s="5"/>
      <c r="R24" s="9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31" t="s">
        <v>30</v>
      </c>
      <c r="B25" s="51">
        <v>200.0</v>
      </c>
      <c r="C25" s="51">
        <v>150.0</v>
      </c>
      <c r="D25" s="51"/>
      <c r="E25" s="51"/>
      <c r="F25" s="51"/>
      <c r="G25" s="51"/>
      <c r="H25" s="51"/>
      <c r="I25" s="51"/>
      <c r="J25" s="112"/>
      <c r="K25" s="112"/>
      <c r="L25" s="112"/>
      <c r="M25" s="112"/>
      <c r="N25" s="38"/>
      <c r="O25" s="5"/>
      <c r="P25" s="5"/>
      <c r="Q25" s="5"/>
      <c r="R25" s="9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31" t="s">
        <v>31</v>
      </c>
      <c r="B26" s="43"/>
      <c r="C26" s="43"/>
      <c r="D26" s="43"/>
      <c r="E26" s="43"/>
      <c r="F26" s="43"/>
      <c r="G26" s="43"/>
      <c r="H26" s="43"/>
      <c r="I26" s="43"/>
      <c r="J26" s="43"/>
      <c r="K26" s="117"/>
      <c r="L26" s="43"/>
      <c r="M26" s="34"/>
      <c r="N26" s="38"/>
      <c r="O26" s="5"/>
      <c r="P26" s="5"/>
      <c r="Q26" s="5"/>
      <c r="R26" s="9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15" t="s">
        <v>32</v>
      </c>
      <c r="B27" s="118">
        <v>205.99</v>
      </c>
      <c r="C27" s="118">
        <v>190.0</v>
      </c>
      <c r="D27" s="118"/>
      <c r="E27" s="118"/>
      <c r="F27" s="118"/>
      <c r="G27" s="55"/>
      <c r="H27" s="55"/>
      <c r="I27" s="55"/>
      <c r="J27" s="56"/>
      <c r="K27" s="44"/>
      <c r="L27" s="119"/>
      <c r="M27" s="120"/>
      <c r="N27" s="46"/>
      <c r="O27" s="5"/>
      <c r="P27" s="5"/>
      <c r="Q27" s="5"/>
      <c r="R27" s="9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16" t="s">
        <v>33</v>
      </c>
      <c r="B28" s="24">
        <f t="shared" ref="B28:M28" si="5">SUM(B16:B27)</f>
        <v>26138.55</v>
      </c>
      <c r="C28" s="24">
        <f t="shared" si="5"/>
        <v>22360.35</v>
      </c>
      <c r="D28" s="24">
        <f t="shared" si="5"/>
        <v>0</v>
      </c>
      <c r="E28" s="24">
        <f t="shared" si="5"/>
        <v>0</v>
      </c>
      <c r="F28" s="24">
        <f t="shared" si="5"/>
        <v>0</v>
      </c>
      <c r="G28" s="24">
        <f t="shared" si="5"/>
        <v>0</v>
      </c>
      <c r="H28" s="24">
        <f t="shared" si="5"/>
        <v>0</v>
      </c>
      <c r="I28" s="24">
        <f t="shared" si="5"/>
        <v>0</v>
      </c>
      <c r="J28" s="24">
        <f t="shared" si="5"/>
        <v>0</v>
      </c>
      <c r="K28" s="24">
        <f t="shared" si="5"/>
        <v>0</v>
      </c>
      <c r="L28" s="24">
        <f t="shared" si="5"/>
        <v>0</v>
      </c>
      <c r="M28" s="24">
        <f t="shared" si="5"/>
        <v>0</v>
      </c>
      <c r="N28" s="14">
        <f>SUM(B28:M28)</f>
        <v>48498.9</v>
      </c>
      <c r="O28" s="5"/>
      <c r="P28" s="5"/>
      <c r="Q28" s="5"/>
      <c r="R28" s="9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58"/>
      <c r="B29" s="58"/>
      <c r="C29" s="58"/>
      <c r="D29" s="59"/>
      <c r="E29" s="60"/>
      <c r="F29" s="60"/>
      <c r="G29" s="60"/>
      <c r="H29" s="60"/>
      <c r="I29" s="60"/>
      <c r="J29" s="61"/>
      <c r="K29" s="58"/>
      <c r="L29" s="58"/>
      <c r="M29" s="58"/>
      <c r="N29" s="62"/>
      <c r="O29" s="5"/>
      <c r="P29" s="5"/>
      <c r="Q29" s="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6" t="s">
        <v>34</v>
      </c>
      <c r="B30" s="7" t="s">
        <v>2</v>
      </c>
      <c r="C30" s="7" t="s">
        <v>3</v>
      </c>
      <c r="D30" s="7" t="s">
        <v>4</v>
      </c>
      <c r="E30" s="7" t="s">
        <v>5</v>
      </c>
      <c r="F30" s="7" t="s">
        <v>6</v>
      </c>
      <c r="G30" s="7" t="s">
        <v>7</v>
      </c>
      <c r="H30" s="7" t="s">
        <v>8</v>
      </c>
      <c r="I30" s="7" t="s">
        <v>9</v>
      </c>
      <c r="J30" s="7" t="s">
        <v>10</v>
      </c>
      <c r="K30" s="7" t="s">
        <v>11</v>
      </c>
      <c r="L30" s="7" t="s">
        <v>12</v>
      </c>
      <c r="M30" s="7" t="s">
        <v>13</v>
      </c>
      <c r="N30" s="8"/>
      <c r="O30" s="5"/>
      <c r="P30" s="5"/>
      <c r="Q30" s="5"/>
      <c r="R30" s="9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16" t="s">
        <v>35</v>
      </c>
      <c r="B31" s="24">
        <f t="shared" ref="B31:M31" si="6">B7-B11-B28</f>
        <v>7083.45</v>
      </c>
      <c r="C31" s="24">
        <f t="shared" si="6"/>
        <v>6394.17</v>
      </c>
      <c r="D31" s="24">
        <f t="shared" si="6"/>
        <v>0</v>
      </c>
      <c r="E31" s="24">
        <f t="shared" si="6"/>
        <v>0</v>
      </c>
      <c r="F31" s="24">
        <f t="shared" si="6"/>
        <v>0</v>
      </c>
      <c r="G31" s="24">
        <f t="shared" si="6"/>
        <v>0</v>
      </c>
      <c r="H31" s="24">
        <f t="shared" si="6"/>
        <v>0</v>
      </c>
      <c r="I31" s="24">
        <f t="shared" si="6"/>
        <v>0</v>
      </c>
      <c r="J31" s="24">
        <f t="shared" si="6"/>
        <v>0</v>
      </c>
      <c r="K31" s="24">
        <f t="shared" si="6"/>
        <v>0</v>
      </c>
      <c r="L31" s="24">
        <f t="shared" si="6"/>
        <v>0</v>
      </c>
      <c r="M31" s="24">
        <f t="shared" si="6"/>
        <v>0</v>
      </c>
      <c r="N31" s="14">
        <f>SUM(B31:M31)</f>
        <v>13477.62</v>
      </c>
      <c r="O31" s="5"/>
      <c r="P31" s="5"/>
      <c r="Q31" s="5"/>
      <c r="R31" s="9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18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5"/>
      <c r="P32" s="5"/>
      <c r="Q32" s="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63"/>
      <c r="B33" s="64"/>
      <c r="C33" s="65"/>
      <c r="D33" s="65"/>
      <c r="E33" s="65"/>
      <c r="F33" s="65"/>
      <c r="G33" s="65"/>
      <c r="H33" s="65"/>
      <c r="I33" s="66"/>
      <c r="J33" s="66"/>
      <c r="K33" s="66"/>
      <c r="L33" s="66"/>
      <c r="M33" s="66"/>
      <c r="N33" s="2"/>
      <c r="O33" s="66"/>
      <c r="P33" s="66"/>
      <c r="Q33" s="6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63"/>
      <c r="B34" s="64"/>
      <c r="C34" s="67"/>
      <c r="D34" s="67"/>
      <c r="E34" s="67"/>
      <c r="F34" s="67"/>
      <c r="G34" s="67"/>
      <c r="H34" s="67"/>
      <c r="I34" s="66"/>
      <c r="J34" s="66"/>
      <c r="K34" s="66"/>
      <c r="L34" s="66"/>
      <c r="M34" s="66"/>
      <c r="N34" s="66"/>
      <c r="O34" s="66"/>
      <c r="P34" s="66"/>
      <c r="Q34" s="6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68"/>
      <c r="B35" s="68"/>
      <c r="C35" s="68"/>
      <c r="D35" s="68"/>
      <c r="E35" s="68"/>
      <c r="F35" s="68"/>
      <c r="G35" s="68"/>
      <c r="H35" s="6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69" t="s">
        <v>36</v>
      </c>
      <c r="B37" s="7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71"/>
      <c r="B38" s="72"/>
      <c r="C38" s="65"/>
      <c r="D38" s="65"/>
      <c r="E38" s="65"/>
      <c r="F38" s="65"/>
      <c r="G38" s="65"/>
      <c r="H38" s="6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73"/>
      <c r="B39" s="7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73"/>
      <c r="B40" s="7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73"/>
      <c r="B41" s="7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73"/>
      <c r="B42" s="7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7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59"/>
      <c r="B48" s="7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59"/>
      <c r="B49" s="7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58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59"/>
      <c r="B51" s="76"/>
      <c r="C51" s="9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59"/>
      <c r="B52" s="77"/>
      <c r="C52" s="9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18"/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78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78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78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78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78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78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78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78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78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78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78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78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78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78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78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78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78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78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78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78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78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78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78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78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78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78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78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78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78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78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78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78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78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78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78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78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78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78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78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78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78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78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78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78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78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78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78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78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78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78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78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78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78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78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78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78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78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78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78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78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78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78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78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78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78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78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78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78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78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78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78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78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78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78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78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78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78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78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78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78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78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78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78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78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78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78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78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78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78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78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78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78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78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78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78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78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78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78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78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78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78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78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78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78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78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78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78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78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78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78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78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78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78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78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78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78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78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78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78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78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78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78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78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78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78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78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78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78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78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78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78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78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78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78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78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78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78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78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78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78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78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78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78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78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78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78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78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78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78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78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78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78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78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78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78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78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78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78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78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78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78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78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78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78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78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78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78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78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78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78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78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78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78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78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78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78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78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78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78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78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78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78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78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78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78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78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78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78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78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78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78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78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78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78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78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78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78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78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78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78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78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78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78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78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78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78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78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78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78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78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78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78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78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78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78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78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78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78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78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78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78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78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78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78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78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78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78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78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78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78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78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78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78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78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78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78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78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78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78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78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78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78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78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78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78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78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78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78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78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78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78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78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78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78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78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78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78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78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78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78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78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78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78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78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78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78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78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78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78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78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78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78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78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78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78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78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78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78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78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78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78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78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78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78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78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78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78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78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78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78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78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78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78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78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78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78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78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78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78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78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78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78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78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78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78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78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78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78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78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78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78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78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78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78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78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78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78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78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78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78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78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78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78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78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78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78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78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78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78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78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78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78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78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78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78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78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78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78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78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78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78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78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78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78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78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78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78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78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78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78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78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78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78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78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78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78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78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78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78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78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78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78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78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78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78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78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78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78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78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78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78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78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78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78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78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78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78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78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78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78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78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78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78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78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78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78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78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78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78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78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78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78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78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78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78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78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78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78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78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78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78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78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78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78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78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78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78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78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78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78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78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78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78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78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78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78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78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78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78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78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78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78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78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78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78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78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78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78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78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78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78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78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78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78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78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78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78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78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78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78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78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78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78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78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78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78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78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78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78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78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78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78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78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78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78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78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78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78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78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78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78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78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78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78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78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78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78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78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78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78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78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78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78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78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78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78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78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78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78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78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78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78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78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78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78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78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78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78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78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78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78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78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78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78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78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78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78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78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78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78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78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78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78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78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78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78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78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78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78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78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78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78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78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78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78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78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78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78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78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78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78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78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78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78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78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78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78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78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78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78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78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78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78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78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78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78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78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78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78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78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78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78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78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78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78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78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78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78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78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78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78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78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78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78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78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78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78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78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78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78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78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78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78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78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78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78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78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78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78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78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78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78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78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78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78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78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78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78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78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78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78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78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78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78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78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78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78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78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78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78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78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78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78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78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78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78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78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78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78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78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78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78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78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78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78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78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78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78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78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78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78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78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78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78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78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78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78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78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78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78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78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78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78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78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78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78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78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78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78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78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78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78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78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78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78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78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78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78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78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78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78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78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78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78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78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78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78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78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78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78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78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78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78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78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78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78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78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78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78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78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78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78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78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78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78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78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78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78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78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78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78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78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78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78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78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78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78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78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78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78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78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78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78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78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78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78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78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78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78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78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78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78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78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78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78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78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78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78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78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78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78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78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78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78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78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78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78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78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78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78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78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78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78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78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78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78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78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78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78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78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78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78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78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78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78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78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78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78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78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78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78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78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78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78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78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78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78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78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78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78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78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78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78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78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78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78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78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78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78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78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78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78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78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78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78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78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78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78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78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78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78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</sheetData>
  <mergeCells count="1">
    <mergeCell ref="A37:B37"/>
  </mergeCells>
  <drawing r:id="rId1"/>
</worksheet>
</file>