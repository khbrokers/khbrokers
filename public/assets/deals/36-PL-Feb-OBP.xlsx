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  <sheet state="visible" name="2023" sheetId="3" r:id="rId7"/>
  </sheets>
  <definedNames>
    <definedName hidden="1" localSheetId="1" name="_xlnm._FilterDatabase">'2026'!$L$19:$L$28</definedName>
    <definedName hidden="1" localSheetId="2" name="_xlnm._FilterDatabase">'2023'!$L$21:$L$30</definedName>
  </definedNames>
  <calcPr/>
</workbook>
</file>

<file path=xl/sharedStrings.xml><?xml version="1.0" encoding="utf-8"?>
<sst xmlns="http://schemas.openxmlformats.org/spreadsheetml/2006/main" count="261" uniqueCount="52">
  <si>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</si>
  <si>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</si>
  <si>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</si>
  <si>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</si>
  <si>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</si>
  <si>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</si>
  <si>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</si>
  <si>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</si>
  <si>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</si>
  <si>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</si>
  <si>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</si>
  <si>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</si>
  <si>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</si>
  <si>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</si>
  <si>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</si>
  <si>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</si>
  <si>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</si>
  <si>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</si>
  <si>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</si>
  <si>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</si>
  <si>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</si>
  <si>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</si>
  <si>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</si>
  <si>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</si>
  <si>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</si>
  <si>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</si>
  <si>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</si>
  <si>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</si>
  <si>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</si>
  <si>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</si>
  <si>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</si>
  <si>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</si>
  <si>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</si>
  <si>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</si>
  <si>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*ADD MORE ROWS IF NEEDED*</t>
  </si>
  <si>
    <t>Total Expenses</t>
  </si>
  <si>
    <t>Profit</t>
  </si>
  <si>
    <t>Total Net Profit</t>
  </si>
  <si>
    <t>Net Profit</t>
  </si>
  <si>
    <t>Sources</t>
  </si>
  <si>
    <t>Total Spent Per Traffic Source</t>
  </si>
  <si>
    <t>Google Adwords</t>
  </si>
  <si>
    <t>Tiktok</t>
  </si>
  <si>
    <t>Revenue (net)</t>
  </si>
  <si>
    <t>Processor Fee</t>
  </si>
  <si>
    <t>Ad Spend</t>
  </si>
  <si>
    <t>COGS</t>
  </si>
  <si>
    <t>Billing</t>
  </si>
  <si>
    <t>US</t>
  </si>
  <si>
    <t>FR</t>
  </si>
  <si>
    <t>AU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</si>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</sst>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$]#,##0.00"/>
  </numFmts>
  <fonts count="11">
    <font>
      <sz val="10.0"/>
      <color rgb="FF000000"/>
      <name val="Calibri"/>
      <scheme val="minor"/>
    </font>
    <font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  <font>
      <b/>
      <sz val="12.0"/>
      <color rgb="FFFF9900"/>
      <name val="Montserrat"/>
    </font>
    <font>
      <i/>
      <u/>
      <color theme="1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164" xfId="0" applyAlignment="1" applyFont="1" applyNumberFormat="1">
      <alignment shrinkToFit="0" wrapText="0"/>
    </xf>
    <xf borderId="0" fillId="0" fontId="4" numFmtId="164" xfId="0" applyAlignment="1" applyFont="1" applyNumberFormat="1">
      <alignment horizontal="right" vertical="bottom"/>
    </xf>
    <xf borderId="0" fillId="0" fontId="3" numFmtId="164" xfId="0" applyFont="1" applyNumberFormat="1"/>
    <xf borderId="0" fillId="0" fontId="5" numFmtId="164" xfId="0" applyAlignment="1" applyFont="1" applyNumberFormat="1">
      <alignment horizontal="right" shrinkToFit="0" wrapText="0"/>
    </xf>
    <xf borderId="0" fillId="0" fontId="5" numFmtId="164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0" fillId="0" fontId="1" numFmtId="164" xfId="0" applyFont="1" applyNumberFormat="1"/>
    <xf borderId="0" fillId="3" fontId="3" numFmtId="165" xfId="0" applyAlignment="1" applyFill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5" numFmtId="164" xfId="0" applyAlignment="1" applyFont="1" applyNumberFormat="1">
      <alignment shrinkToFit="0" wrapText="0"/>
    </xf>
    <xf borderId="0" fillId="0" fontId="3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3" fontId="6" numFmtId="0" xfId="0" applyAlignment="1" applyFont="1">
      <alignment vertical="bottom"/>
    </xf>
    <xf borderId="0" fillId="4" fontId="6" numFmtId="165" xfId="0" applyAlignment="1" applyFill="1" applyFont="1" applyNumberFormat="1">
      <alignment readingOrder="0" shrinkToFit="0" wrapText="0"/>
    </xf>
    <xf borderId="0" fillId="4" fontId="6" numFmtId="165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Font="1"/>
    <xf borderId="0" fillId="5" fontId="4" numFmtId="164" xfId="0" applyAlignment="1" applyFill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/>
    </xf>
    <xf borderId="0" fillId="5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3" numFmtId="4" xfId="0" applyAlignment="1" applyFont="1" applyNumberFormat="1">
      <alignment readingOrder="0" vertical="bottom"/>
    </xf>
    <xf borderId="0" fillId="3" fontId="3" numFmtId="165" xfId="0" applyAlignment="1" applyFont="1" applyNumberFormat="1">
      <alignment horizontal="right" readingOrder="0" vertical="bottom"/>
    </xf>
    <xf borderId="0" fillId="3" fontId="7" numFmtId="165" xfId="0" applyAlignment="1" applyFont="1" applyNumberFormat="1">
      <alignment horizontal="right" vertical="bottom"/>
    </xf>
    <xf borderId="0" fillId="3" fontId="7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3" fontId="3" numFmtId="164" xfId="0" applyAlignment="1" applyFont="1" applyNumberFormat="1">
      <alignment horizontal="right" vertical="bottom"/>
    </xf>
    <xf borderId="0" fillId="0" fontId="3" numFmtId="0" xfId="0" applyFont="1"/>
    <xf borderId="0" fillId="5" fontId="3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horizontal="right" readingOrder="0" vertical="bottom"/>
    </xf>
    <xf borderId="0" fillId="5" fontId="3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readingOrder="0"/>
    </xf>
    <xf borderId="0" fillId="0" fontId="1" numFmtId="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/>
    </xf>
    <xf borderId="0" fillId="0" fontId="3" numFmtId="165" xfId="0" applyAlignment="1" applyFont="1" applyNumberFormat="1">
      <alignment horizontal="right" readingOrder="0"/>
    </xf>
    <xf borderId="0" fillId="5" fontId="5" numFmtId="165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3" numFmtId="165" xfId="0" applyAlignment="1" applyFont="1" applyNumberFormat="1">
      <alignment horizontal="right"/>
    </xf>
    <xf borderId="0" fillId="0" fontId="6" numFmtId="0" xfId="0" applyFont="1"/>
    <xf borderId="0" fillId="0" fontId="6" numFmtId="0" xfId="0" applyAlignment="1" applyFont="1">
      <alignment readingOrder="0"/>
    </xf>
    <xf borderId="0" fillId="3" fontId="7" numFmtId="164" xfId="0" applyAlignment="1" applyFont="1" applyNumberFormat="1">
      <alignment horizontal="right" vertical="bottom"/>
    </xf>
    <xf borderId="0" fillId="3" fontId="7" numFmtId="164" xfId="0" applyAlignment="1" applyFont="1" applyNumberFormat="1">
      <alignment horizontal="right" readingOrder="0" vertical="bottom"/>
    </xf>
    <xf borderId="0" fillId="5" fontId="1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3" fontId="6" numFmtId="164" xfId="0" applyAlignment="1" applyFont="1" applyNumberFormat="1">
      <alignment horizontal="right" vertical="bottom"/>
    </xf>
    <xf borderId="0" fillId="3" fontId="6" numFmtId="164" xfId="0" applyAlignment="1" applyFont="1" applyNumberFormat="1">
      <alignment horizontal="right" readingOrder="0" vertical="bottom"/>
    </xf>
    <xf borderId="0" fillId="2" fontId="2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5" fontId="8" numFmtId="0" xfId="0" applyAlignment="1" applyFont="1">
      <alignment vertical="bottom"/>
    </xf>
    <xf borderId="0" fillId="5" fontId="8" numFmtId="164" xfId="0" applyAlignment="1" applyFont="1" applyNumberFormat="1">
      <alignment horizontal="right" vertical="bottom"/>
    </xf>
    <xf borderId="0" fillId="5" fontId="1" numFmtId="4" xfId="0" applyAlignment="1" applyFont="1" applyNumberFormat="1">
      <alignment horizontal="right" vertical="bottom"/>
    </xf>
    <xf borderId="0" fillId="5" fontId="4" numFmtId="0" xfId="0" applyAlignment="1" applyFont="1">
      <alignment horizontal="right" vertical="bottom"/>
    </xf>
    <xf borderId="0" fillId="0" fontId="4" numFmtId="0" xfId="0" applyAlignment="1" applyFont="1">
      <alignment horizontal="right"/>
    </xf>
    <xf borderId="0" fillId="5" fontId="3" numFmtId="0" xfId="0" applyAlignment="1" applyFont="1">
      <alignment horizontal="right" vertical="bottom"/>
    </xf>
    <xf borderId="0" fillId="0" fontId="3" numFmtId="0" xfId="0" applyFont="1"/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 shrinkToFit="0" wrapText="0"/>
    </xf>
    <xf borderId="0" fillId="5" fontId="4" numFmtId="165" xfId="0" applyAlignment="1" applyFont="1" applyNumberFormat="1">
      <alignment horizontal="right" readingOrder="0" vertical="bottom"/>
    </xf>
    <xf borderId="0" fillId="6" fontId="5" numFmtId="165" xfId="0" applyAlignment="1" applyFill="1" applyFont="1" applyNumberFormat="1">
      <alignment horizontal="right" readingOrder="0" shrinkToFit="0" wrapText="0"/>
    </xf>
    <xf borderId="0" fillId="6" fontId="5" numFmtId="165" xfId="0" applyAlignment="1" applyFont="1" applyNumberFormat="1">
      <alignment horizontal="right" readingOrder="0"/>
    </xf>
    <xf borderId="0" fillId="5" fontId="5" numFmtId="165" xfId="0" applyAlignment="1" applyFont="1" applyNumberFormat="1">
      <alignment horizontal="right" readingOrder="0"/>
    </xf>
    <xf borderId="0" fillId="5" fontId="4" numFmtId="165" xfId="0" applyAlignment="1" applyFont="1" applyNumberFormat="1">
      <alignment horizontal="right" readingOrder="0"/>
    </xf>
    <xf borderId="0" fillId="0" fontId="1" numFmtId="4" xfId="0" applyFont="1" applyNumberFormat="1"/>
    <xf borderId="0" fillId="0" fontId="3" numFmtId="164" xfId="0" applyAlignment="1" applyFont="1" applyNumberFormat="1">
      <alignment readingOrder="0" shrinkToFit="0" wrapText="0"/>
    </xf>
    <xf borderId="0" fillId="5" fontId="5" numFmtId="165" xfId="0" applyAlignment="1" applyFont="1" applyNumberFormat="1">
      <alignment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5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readingOrder="0"/>
    </xf>
    <xf borderId="0" fillId="0" fontId="3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readingOrder="0"/>
    </xf>
    <xf borderId="0" fillId="5" fontId="5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'2025'!$A$35:$A$39</c:f>
            </c:strRef>
          </c:cat>
          <c:val>
            <c:numRef>
              <c:f>'2025'!$B$35:$B$39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'2026'!$A$35:$A$39</c:f>
            </c:strRef>
          </c:cat>
          <c:val>
            <c:numRef>
              <c:f>'2026'!$B$35:$B$39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33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31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33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962025</xdr:colOff>
      <xdr:row>35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7.86"/>
    <col customWidth="1" min="2" max="3" width="17.43"/>
    <col customWidth="1" min="4" max="4" width="16.43"/>
    <col customWidth="1" min="5" max="5" width="18.57"/>
    <col customWidth="1" min="6" max="7" width="15.43"/>
    <col customWidth="1" min="8" max="8" width="19.14"/>
    <col customWidth="1" min="9" max="9" width="14.29"/>
    <col customWidth="1" min="10" max="10" width="15.43"/>
    <col customWidth="1" min="11" max="11" width="21.86"/>
    <col customWidth="1" min="12" max="12" width="18.86"/>
    <col customWidth="1" min="13" max="13" width="22.29"/>
    <col customWidth="1" min="14" max="14" width="26.57"/>
    <col customWidth="1" min="15" max="15" width="8.43"/>
  </cols>
  <sheetData>
    <row r="1" ht="15.75" customHeight="1">
      <c r="A1" s="1"/>
      <c r="B1" s="2">
        <v>2025.0</v>
      </c>
      <c r="C1" s="2">
        <v>2025.0</v>
      </c>
      <c r="D1" s="2">
        <v>2025.0</v>
      </c>
      <c r="E1" s="2">
        <v>2025.0</v>
      </c>
      <c r="F1" s="2">
        <v>2025.0</v>
      </c>
      <c r="G1" s="2">
        <v>2025.0</v>
      </c>
      <c r="H1" s="2">
        <v>2025.0</v>
      </c>
      <c r="I1" s="2">
        <v>2025.0</v>
      </c>
      <c r="J1" s="2">
        <v>2025.0</v>
      </c>
      <c r="K1" s="2">
        <v>2025.0</v>
      </c>
      <c r="L1" s="2">
        <v>2025.0</v>
      </c>
      <c r="M1" s="2">
        <v>2025.0</v>
      </c>
      <c r="N1" s="3"/>
      <c r="O1" s="3"/>
      <c r="P1" s="3"/>
      <c r="Q1" s="3"/>
      <c r="R1" s="3"/>
      <c r="S1" s="3"/>
      <c r="T1" s="3"/>
      <c r="U1" s="3"/>
      <c r="V1" s="2"/>
      <c r="W1" s="3"/>
      <c r="X1" s="3"/>
      <c r="Y1" s="3"/>
      <c r="Z1" s="3"/>
    </row>
    <row r="2" ht="15.75" customHeight="1">
      <c r="A2" s="4" t="s">
        <v>0</v>
      </c>
      <c r="B2" s="5" t="s">
        <v>1</v>
      </c>
      <c r="C2" s="5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6" t="s">
        <v>13</v>
      </c>
      <c r="O2" s="7"/>
      <c r="P2" s="8"/>
      <c r="Q2" s="8"/>
      <c r="R2" s="9"/>
      <c r="S2" s="10"/>
      <c r="T2" s="2"/>
      <c r="U2" s="3"/>
      <c r="V2" s="8"/>
      <c r="W2" s="8"/>
      <c r="X2" s="9"/>
      <c r="Y2" s="10"/>
      <c r="Z2" s="2"/>
    </row>
    <row r="3" ht="15.75" customHeight="1">
      <c r="A3" s="1" t="s">
        <v>14</v>
      </c>
      <c r="B3" s="11">
        <v>73478.31</v>
      </c>
      <c r="C3" s="12">
        <v>95475.70999999999</v>
      </c>
      <c r="D3" s="13">
        <v>211374.69</v>
      </c>
      <c r="E3" s="12">
        <v>204537.00999999998</v>
      </c>
      <c r="F3" s="12">
        <v>71830.46</v>
      </c>
      <c r="G3" s="14">
        <v>150968.71</v>
      </c>
      <c r="H3" s="15">
        <v>209472.58</v>
      </c>
      <c r="I3" s="15">
        <v>160821.30000000002</v>
      </c>
      <c r="J3" s="16">
        <v>73436.90000000001</v>
      </c>
      <c r="K3" s="15">
        <v>88405.36</v>
      </c>
      <c r="L3" s="14">
        <v>134619.58</v>
      </c>
      <c r="M3" s="17">
        <v>297744.85000000003</v>
      </c>
      <c r="N3" s="18">
        <f t="shared" ref="N3:N6" si="1">SUM(B3:M3)</f>
        <v>1772165.46</v>
      </c>
      <c r="O3" s="7"/>
      <c r="P3" s="7"/>
      <c r="Q3" s="7"/>
      <c r="R3" s="7"/>
      <c r="S3" s="7"/>
      <c r="T3" s="3"/>
      <c r="U3" s="7"/>
      <c r="V3" s="2"/>
      <c r="W3" s="3"/>
      <c r="X3" s="3"/>
      <c r="Y3" s="3"/>
      <c r="Z3" s="3"/>
    </row>
    <row r="4" ht="15.75" customHeight="1">
      <c r="A4" s="19" t="s">
        <v>15</v>
      </c>
      <c r="B4" s="11">
        <v>673.88</v>
      </c>
      <c r="C4" s="12">
        <v>291.7</v>
      </c>
      <c r="D4" s="13">
        <v>960.01</v>
      </c>
      <c r="E4" s="12">
        <v>2050.2200000000003</v>
      </c>
      <c r="F4" s="13">
        <v>1160.3</v>
      </c>
      <c r="G4" s="12">
        <v>829.6</v>
      </c>
      <c r="H4" s="14">
        <v>1939.59</v>
      </c>
      <c r="I4" s="14">
        <v>2028.24</v>
      </c>
      <c r="J4" s="20">
        <v>581.26</v>
      </c>
      <c r="K4" s="21">
        <v>860.09</v>
      </c>
      <c r="L4" s="14">
        <v>1006.8100000000001</v>
      </c>
      <c r="M4" s="22">
        <v>3719.41</v>
      </c>
      <c r="N4" s="18">
        <f t="shared" si="1"/>
        <v>16101.11</v>
      </c>
      <c r="O4" s="7"/>
      <c r="P4" s="7"/>
      <c r="Q4" s="7"/>
      <c r="R4" s="7"/>
      <c r="S4" s="7"/>
      <c r="T4" s="3"/>
      <c r="U4" s="7"/>
      <c r="V4" s="2"/>
      <c r="W4" s="3"/>
      <c r="X4" s="3"/>
      <c r="Y4" s="3"/>
      <c r="Z4" s="3"/>
    </row>
    <row r="5" ht="15.75" customHeight="1">
      <c r="A5" s="19" t="s">
        <v>16</v>
      </c>
      <c r="B5" s="23">
        <v>349.45</v>
      </c>
      <c r="C5" s="23">
        <v>282.08000000000004</v>
      </c>
      <c r="D5" s="23">
        <v>1025.8400000000001</v>
      </c>
      <c r="E5" s="23">
        <v>644.01</v>
      </c>
      <c r="F5" s="23">
        <v>354.97</v>
      </c>
      <c r="G5" s="23">
        <v>407.19</v>
      </c>
      <c r="H5" s="23">
        <v>159.48000000000002</v>
      </c>
      <c r="I5" s="23">
        <v>639.4200000000001</v>
      </c>
      <c r="J5" s="23">
        <v>115.61</v>
      </c>
      <c r="K5" s="24">
        <v>46.739999999999995</v>
      </c>
      <c r="L5" s="24">
        <v>135.88</v>
      </c>
      <c r="M5" s="17">
        <v>954.21</v>
      </c>
      <c r="N5" s="18">
        <f t="shared" si="1"/>
        <v>5114.88</v>
      </c>
      <c r="O5" s="7"/>
      <c r="P5" s="7"/>
      <c r="Q5" s="7"/>
      <c r="R5" s="7"/>
      <c r="S5" s="7"/>
      <c r="T5" s="3"/>
      <c r="U5" s="7"/>
      <c r="V5" s="2"/>
      <c r="W5" s="2"/>
      <c r="X5" s="3"/>
      <c r="Y5" s="3"/>
      <c r="Z5" s="3"/>
    </row>
    <row r="6" ht="15.75" customHeight="1">
      <c r="A6" s="25" t="s">
        <v>17</v>
      </c>
      <c r="B6" s="26">
        <f t="shared" ref="B6:M6" si="2">B3-B4-B5</f>
        <v>72454.98</v>
      </c>
      <c r="C6" s="26">
        <f t="shared" si="2"/>
        <v>94901.93</v>
      </c>
      <c r="D6" s="26">
        <f t="shared" si="2"/>
        <v>209388.84</v>
      </c>
      <c r="E6" s="26">
        <f t="shared" si="2"/>
        <v>201842.78</v>
      </c>
      <c r="F6" s="26">
        <f t="shared" si="2"/>
        <v>70315.19</v>
      </c>
      <c r="G6" s="26">
        <f t="shared" si="2"/>
        <v>149731.92</v>
      </c>
      <c r="H6" s="26">
        <f t="shared" si="2"/>
        <v>207373.51</v>
      </c>
      <c r="I6" s="26">
        <f t="shared" si="2"/>
        <v>158153.64</v>
      </c>
      <c r="J6" s="26">
        <f t="shared" si="2"/>
        <v>72740.03</v>
      </c>
      <c r="K6" s="26">
        <f t="shared" si="2"/>
        <v>87498.53</v>
      </c>
      <c r="L6" s="26">
        <f t="shared" si="2"/>
        <v>133476.89</v>
      </c>
      <c r="M6" s="26">
        <f t="shared" si="2"/>
        <v>293071.23</v>
      </c>
      <c r="N6" s="27">
        <f t="shared" si="1"/>
        <v>1750949.47</v>
      </c>
      <c r="O6" s="7"/>
      <c r="P6" s="7"/>
      <c r="Q6" s="7"/>
      <c r="R6" s="7"/>
      <c r="S6" s="7"/>
      <c r="T6" s="3"/>
      <c r="U6" s="7"/>
      <c r="V6" s="28"/>
      <c r="W6" s="2"/>
      <c r="X6" s="3"/>
      <c r="Y6" s="2"/>
      <c r="Z6" s="3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"/>
      <c r="N7" s="3"/>
      <c r="O7" s="7"/>
      <c r="P7" s="7"/>
      <c r="Q7" s="7"/>
      <c r="R7" s="7"/>
      <c r="S7" s="7"/>
      <c r="T7" s="3"/>
      <c r="U7" s="7"/>
      <c r="V7" s="28"/>
      <c r="W7" s="2"/>
      <c r="X7" s="3"/>
      <c r="Y7" s="3"/>
      <c r="Z7" s="3"/>
    </row>
    <row r="8" ht="15.75" customHeight="1">
      <c r="A8" s="29"/>
      <c r="B8" s="2">
        <v>2025.0</v>
      </c>
      <c r="C8" s="2">
        <v>2025.0</v>
      </c>
      <c r="D8" s="2">
        <v>2025.0</v>
      </c>
      <c r="E8" s="2">
        <v>2025.0</v>
      </c>
      <c r="F8" s="2">
        <v>2025.0</v>
      </c>
      <c r="G8" s="2">
        <v>2025.0</v>
      </c>
      <c r="H8" s="2">
        <v>2025.0</v>
      </c>
      <c r="I8" s="2">
        <v>2025.0</v>
      </c>
      <c r="J8" s="2">
        <v>2025.0</v>
      </c>
      <c r="K8" s="2">
        <v>2025.0</v>
      </c>
      <c r="L8" s="2">
        <v>2025.0</v>
      </c>
      <c r="M8" s="2">
        <v>2025.0</v>
      </c>
      <c r="N8" s="3"/>
      <c r="O8" s="2"/>
      <c r="P8" s="7"/>
      <c r="Q8" s="7"/>
      <c r="R8" s="7"/>
      <c r="S8" s="7"/>
      <c r="T8" s="3"/>
      <c r="U8" s="2"/>
      <c r="V8" s="28"/>
      <c r="W8" s="2"/>
      <c r="X8" s="3"/>
      <c r="Y8" s="3"/>
      <c r="Z8" s="3"/>
    </row>
    <row r="9" ht="15.75" customHeight="1">
      <c r="A9" s="4" t="s">
        <v>18</v>
      </c>
      <c r="B9" s="5" t="s">
        <v>1</v>
      </c>
      <c r="C9" s="5" t="s">
        <v>2</v>
      </c>
      <c r="D9" s="5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12</v>
      </c>
      <c r="N9" s="6" t="s">
        <v>13</v>
      </c>
      <c r="O9" s="2"/>
      <c r="P9" s="7"/>
      <c r="Q9" s="7"/>
      <c r="R9" s="7"/>
      <c r="S9" s="7"/>
      <c r="T9" s="3"/>
      <c r="U9" s="2"/>
      <c r="V9" s="28"/>
      <c r="W9" s="2"/>
      <c r="X9" s="3"/>
      <c r="Y9" s="3"/>
      <c r="Z9" s="3"/>
    </row>
    <row r="10" ht="15.75" customHeight="1">
      <c r="A10" s="19" t="s">
        <v>19</v>
      </c>
      <c r="B10" s="30">
        <v>35821.32</v>
      </c>
      <c r="C10" s="30">
        <v>36261.08</v>
      </c>
      <c r="D10" s="30">
        <v>63805.85</v>
      </c>
      <c r="E10" s="30">
        <v>76292.33</v>
      </c>
      <c r="F10" s="30">
        <v>22236.84</v>
      </c>
      <c r="G10" s="30">
        <v>46574.13</v>
      </c>
      <c r="H10" s="31">
        <v>78272.88</v>
      </c>
      <c r="I10" s="30">
        <v>48299.76</v>
      </c>
      <c r="J10" s="30">
        <v>22929.47</v>
      </c>
      <c r="K10" s="32">
        <v>32268.3</v>
      </c>
      <c r="L10" s="33">
        <v>49629.55</v>
      </c>
      <c r="M10" s="34">
        <v>122068.32</v>
      </c>
      <c r="N10" s="35">
        <f t="shared" ref="N10:N11" si="4">SUM(B10:M10)</f>
        <v>634459.83</v>
      </c>
      <c r="O10" s="2"/>
      <c r="P10" s="7"/>
      <c r="Q10" s="7"/>
      <c r="R10" s="7"/>
      <c r="S10" s="7"/>
      <c r="T10" s="3"/>
      <c r="U10" s="2"/>
      <c r="V10" s="28"/>
      <c r="W10" s="2"/>
      <c r="X10" s="3"/>
      <c r="Y10" s="3"/>
      <c r="Z10" s="3"/>
    </row>
    <row r="11" ht="15.75" customHeight="1">
      <c r="A11" s="25" t="s">
        <v>20</v>
      </c>
      <c r="B11" s="36">
        <f t="shared" ref="B11:M11" si="3">B6-B10</f>
        <v>36633.66</v>
      </c>
      <c r="C11" s="36">
        <f t="shared" si="3"/>
        <v>58640.85</v>
      </c>
      <c r="D11" s="36">
        <f t="shared" si="3"/>
        <v>145582.99</v>
      </c>
      <c r="E11" s="36">
        <f t="shared" si="3"/>
        <v>125550.45</v>
      </c>
      <c r="F11" s="36">
        <f t="shared" si="3"/>
        <v>48078.35</v>
      </c>
      <c r="G11" s="36">
        <f t="shared" si="3"/>
        <v>103157.79</v>
      </c>
      <c r="H11" s="36">
        <f t="shared" si="3"/>
        <v>129100.63</v>
      </c>
      <c r="I11" s="36">
        <f t="shared" si="3"/>
        <v>109853.88</v>
      </c>
      <c r="J11" s="36">
        <f t="shared" si="3"/>
        <v>49810.56</v>
      </c>
      <c r="K11" s="36">
        <f t="shared" si="3"/>
        <v>55230.23</v>
      </c>
      <c r="L11" s="36">
        <f t="shared" si="3"/>
        <v>83847.34</v>
      </c>
      <c r="M11" s="36">
        <f t="shared" si="3"/>
        <v>171002.91</v>
      </c>
      <c r="N11" s="37">
        <f t="shared" si="4"/>
        <v>1116489.64</v>
      </c>
      <c r="O11" s="2"/>
      <c r="P11" s="7"/>
      <c r="Q11" s="7"/>
      <c r="R11" s="7"/>
      <c r="S11" s="7"/>
      <c r="T11" s="3"/>
      <c r="U11" s="2"/>
      <c r="V11" s="3"/>
      <c r="W11" s="2"/>
      <c r="X11" s="3"/>
      <c r="Y11" s="3"/>
      <c r="Z11" s="3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3"/>
      <c r="N12" s="3"/>
      <c r="O12" s="2"/>
      <c r="P12" s="7"/>
      <c r="Q12" s="7"/>
      <c r="R12" s="7"/>
      <c r="S12" s="7"/>
      <c r="T12" s="3"/>
      <c r="U12" s="2"/>
      <c r="V12" s="3"/>
      <c r="W12" s="2"/>
      <c r="X12" s="3"/>
      <c r="Y12" s="3"/>
      <c r="Z12" s="3"/>
    </row>
    <row r="13" ht="15.75" customHeight="1">
      <c r="A13" s="29"/>
      <c r="B13" s="2">
        <v>2025.0</v>
      </c>
      <c r="C13" s="2">
        <v>2025.0</v>
      </c>
      <c r="D13" s="2">
        <v>2025.0</v>
      </c>
      <c r="E13" s="2">
        <v>2025.0</v>
      </c>
      <c r="F13" s="2">
        <v>2025.0</v>
      </c>
      <c r="G13" s="2">
        <v>2025.0</v>
      </c>
      <c r="H13" s="2">
        <v>2025.0</v>
      </c>
      <c r="I13" s="2">
        <v>2025.0</v>
      </c>
      <c r="J13" s="2">
        <v>2025.0</v>
      </c>
      <c r="K13" s="2">
        <v>2025.0</v>
      </c>
      <c r="L13" s="2">
        <v>2025.0</v>
      </c>
      <c r="M13" s="2">
        <v>2025.0</v>
      </c>
      <c r="N13" s="3"/>
      <c r="O13" s="38"/>
      <c r="P13" s="7"/>
      <c r="Q13" s="7"/>
      <c r="R13" s="7"/>
      <c r="S13" s="2"/>
      <c r="T13" s="3"/>
      <c r="U13" s="38"/>
      <c r="V13" s="3"/>
      <c r="W13" s="2"/>
      <c r="X13" s="3"/>
      <c r="Y13" s="3"/>
      <c r="Z13" s="3"/>
    </row>
    <row r="14" ht="15.75" customHeight="1">
      <c r="A14" s="4" t="s">
        <v>21</v>
      </c>
      <c r="B14" s="5" t="s">
        <v>1</v>
      </c>
      <c r="C14" s="5" t="s">
        <v>2</v>
      </c>
      <c r="D14" s="5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  <c r="L14" s="4" t="s">
        <v>11</v>
      </c>
      <c r="M14" s="4" t="s">
        <v>12</v>
      </c>
      <c r="N14" s="6" t="s">
        <v>13</v>
      </c>
      <c r="O14" s="7"/>
      <c r="P14" s="7"/>
      <c r="Q14" s="7"/>
      <c r="R14" s="7"/>
      <c r="S14" s="7"/>
      <c r="T14" s="3"/>
      <c r="U14" s="7"/>
      <c r="V14" s="3"/>
      <c r="W14" s="2"/>
      <c r="X14" s="2"/>
      <c r="Y14" s="3"/>
      <c r="Z14" s="3"/>
    </row>
    <row r="15" ht="15.75" customHeight="1">
      <c r="A15" s="39" t="s">
        <v>22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>
        <f t="shared" ref="N15:N28" si="5">SUM(B15:M15)</f>
        <v>0</v>
      </c>
      <c r="O15" s="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2" t="s">
        <v>23</v>
      </c>
      <c r="B16" s="40"/>
      <c r="C16" s="40"/>
      <c r="D16" s="40"/>
      <c r="E16" s="40"/>
      <c r="F16" s="40"/>
      <c r="G16" s="40"/>
      <c r="H16" s="40"/>
      <c r="I16" s="40"/>
      <c r="J16" s="40"/>
      <c r="K16" s="43"/>
      <c r="L16" s="44"/>
      <c r="M16" s="44"/>
      <c r="N16" s="41">
        <f t="shared" si="5"/>
        <v>0</v>
      </c>
      <c r="O16" s="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5" t="s">
        <v>24</v>
      </c>
      <c r="B17" s="46">
        <v>24120.75</v>
      </c>
      <c r="C17" s="46">
        <v>40827.99</v>
      </c>
      <c r="D17" s="46">
        <v>77782.71</v>
      </c>
      <c r="E17" s="46">
        <v>104003.42</v>
      </c>
      <c r="F17" s="46">
        <v>28125.88</v>
      </c>
      <c r="G17" s="46">
        <v>55244.86</v>
      </c>
      <c r="H17" s="46">
        <v>88796.4</v>
      </c>
      <c r="I17" s="46">
        <v>57830.11</v>
      </c>
      <c r="J17" s="46">
        <v>32147.55</v>
      </c>
      <c r="K17" s="47">
        <v>37466.73</v>
      </c>
      <c r="L17" s="48">
        <v>50834.15</v>
      </c>
      <c r="M17" s="33">
        <v>124971.66</v>
      </c>
      <c r="N17" s="41">
        <f t="shared" si="5"/>
        <v>722152.21</v>
      </c>
      <c r="O17" s="7"/>
      <c r="P17" s="49"/>
      <c r="Q17" s="2"/>
      <c r="R17" s="2"/>
      <c r="S17" s="2"/>
      <c r="T17" s="3"/>
      <c r="U17" s="3"/>
      <c r="V17" s="2"/>
      <c r="W17" s="50"/>
      <c r="X17" s="2"/>
      <c r="Y17" s="2"/>
      <c r="Z17" s="3"/>
    </row>
    <row r="18" ht="15.75" customHeight="1">
      <c r="A18" s="42" t="s">
        <v>25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>
        <f t="shared" si="5"/>
        <v>0</v>
      </c>
      <c r="O18" s="7"/>
      <c r="P18" s="50"/>
      <c r="Q18" s="2"/>
      <c r="R18" s="2"/>
      <c r="S18" s="2"/>
      <c r="T18" s="3"/>
      <c r="U18" s="3"/>
      <c r="V18" s="2"/>
      <c r="W18" s="50"/>
      <c r="X18" s="2"/>
      <c r="Y18" s="2"/>
      <c r="Z18" s="3"/>
    </row>
    <row r="19" ht="15.75" customHeight="1">
      <c r="A19" s="45" t="s">
        <v>26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>
        <f t="shared" si="5"/>
        <v>0</v>
      </c>
      <c r="O19" s="7"/>
      <c r="P19" s="49"/>
      <c r="Q19" s="2"/>
      <c r="R19" s="2"/>
      <c r="S19" s="2"/>
      <c r="T19" s="3"/>
      <c r="U19" s="3"/>
      <c r="V19" s="2"/>
      <c r="W19" s="50"/>
      <c r="X19" s="2"/>
      <c r="Y19" s="2"/>
      <c r="Z19" s="3"/>
    </row>
    <row r="20" ht="15.75" customHeight="1">
      <c r="A20" s="51" t="s">
        <v>27</v>
      </c>
      <c r="B20" s="46">
        <v>3693.02</v>
      </c>
      <c r="C20" s="46">
        <v>4188.3</v>
      </c>
      <c r="D20" s="46">
        <v>8077.57</v>
      </c>
      <c r="E20" s="46">
        <v>9629.7</v>
      </c>
      <c r="F20" s="52">
        <v>5645.99</v>
      </c>
      <c r="G20" s="52">
        <v>6195.77</v>
      </c>
      <c r="H20" s="52">
        <v>10108.52</v>
      </c>
      <c r="I20" s="52">
        <v>6069.5</v>
      </c>
      <c r="J20" s="52">
        <v>2955.5</v>
      </c>
      <c r="K20" s="52">
        <v>4032.77</v>
      </c>
      <c r="L20" s="52">
        <v>5544.42</v>
      </c>
      <c r="M20" s="53">
        <v>13002.8</v>
      </c>
      <c r="N20" s="41">
        <f t="shared" si="5"/>
        <v>79143.86</v>
      </c>
      <c r="O20" s="7"/>
      <c r="P20" s="49"/>
      <c r="Q20" s="2"/>
      <c r="R20" s="2"/>
      <c r="S20" s="2"/>
      <c r="T20" s="3"/>
      <c r="U20" s="3"/>
      <c r="V20" s="2"/>
      <c r="W20" s="50"/>
      <c r="X20" s="2"/>
      <c r="Y20" s="2"/>
      <c r="Z20" s="3"/>
    </row>
    <row r="21" ht="15.75" customHeight="1">
      <c r="A21" s="39" t="s">
        <v>28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54"/>
      <c r="N21" s="41">
        <f t="shared" si="5"/>
        <v>0</v>
      </c>
      <c r="O21" s="7"/>
      <c r="P21" s="49"/>
      <c r="Q21" s="2"/>
      <c r="R21" s="2"/>
      <c r="S21" s="2"/>
      <c r="T21" s="3"/>
      <c r="U21" s="3"/>
      <c r="V21" s="3"/>
      <c r="W21" s="2"/>
      <c r="X21" s="3"/>
      <c r="Y21" s="3"/>
      <c r="Z21" s="3"/>
    </row>
    <row r="22" ht="15.75" customHeight="1">
      <c r="A22" s="39" t="s">
        <v>29</v>
      </c>
      <c r="B22" s="46">
        <v>601.57</v>
      </c>
      <c r="C22" s="46">
        <v>1089.05</v>
      </c>
      <c r="D22" s="46">
        <v>1600.3</v>
      </c>
      <c r="E22" s="46">
        <v>1863.97</v>
      </c>
      <c r="F22" s="46">
        <v>1826.03</v>
      </c>
      <c r="G22" s="46">
        <v>1217.47</v>
      </c>
      <c r="H22" s="46">
        <v>1695.25</v>
      </c>
      <c r="I22" s="46">
        <v>1799.19</v>
      </c>
      <c r="J22" s="46">
        <v>1411.72</v>
      </c>
      <c r="K22" s="46">
        <v>1448.31</v>
      </c>
      <c r="L22" s="46">
        <v>1748.1</v>
      </c>
      <c r="M22" s="3">
        <v>3660.9300000000003</v>
      </c>
      <c r="N22" s="41">
        <f t="shared" si="5"/>
        <v>19961.89</v>
      </c>
      <c r="O22" s="2"/>
      <c r="P22" s="49"/>
      <c r="Q22" s="2"/>
      <c r="R22" s="2"/>
      <c r="S22" s="2"/>
      <c r="T22" s="3"/>
      <c r="U22" s="3"/>
      <c r="V22" s="3"/>
      <c r="W22" s="3"/>
      <c r="X22" s="3"/>
      <c r="Y22" s="3"/>
      <c r="Z22" s="3"/>
    </row>
    <row r="23" ht="15.75" customHeight="1">
      <c r="A23" s="39" t="s">
        <v>30</v>
      </c>
      <c r="B23" s="40"/>
      <c r="C23" s="40"/>
      <c r="D23" s="40"/>
      <c r="E23" s="40"/>
      <c r="F23" s="40"/>
      <c r="G23" s="40"/>
      <c r="H23" s="40"/>
      <c r="I23" s="40"/>
      <c r="J23" s="40"/>
      <c r="K23" s="43"/>
      <c r="L23" s="44"/>
      <c r="M23" s="44"/>
      <c r="N23" s="41">
        <f t="shared" si="5"/>
        <v>0</v>
      </c>
      <c r="O23" s="2"/>
      <c r="P23" s="49"/>
      <c r="Q23" s="2"/>
      <c r="R23" s="2"/>
      <c r="S23" s="2"/>
      <c r="T23" s="3"/>
      <c r="U23" s="3"/>
      <c r="V23" s="2"/>
      <c r="W23" s="3"/>
      <c r="X23" s="3"/>
      <c r="Y23" s="3"/>
      <c r="Z23" s="3"/>
    </row>
    <row r="24" ht="15.75" customHeight="1">
      <c r="A24" s="55" t="s">
        <v>31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>
        <f t="shared" si="5"/>
        <v>0</v>
      </c>
      <c r="O24" s="2"/>
      <c r="P24" s="49"/>
      <c r="Q24" s="2"/>
      <c r="R24" s="2"/>
      <c r="S24" s="2"/>
      <c r="T24" s="3"/>
      <c r="U24" s="3"/>
      <c r="V24" s="2"/>
      <c r="W24" s="3"/>
      <c r="X24" s="3"/>
      <c r="Y24" s="3"/>
      <c r="Z24" s="3"/>
    </row>
    <row r="25" ht="15.75" customHeight="1">
      <c r="A25" s="51" t="s">
        <v>32</v>
      </c>
      <c r="B25" s="40">
        <v>150.0</v>
      </c>
      <c r="C25" s="40">
        <v>200.0</v>
      </c>
      <c r="D25" s="40">
        <v>250.0</v>
      </c>
      <c r="E25" s="40">
        <v>250.0</v>
      </c>
      <c r="F25" s="40">
        <v>250.0</v>
      </c>
      <c r="G25" s="40">
        <v>250.0</v>
      </c>
      <c r="H25" s="40">
        <v>250.0</v>
      </c>
      <c r="I25" s="40">
        <v>250.0</v>
      </c>
      <c r="J25" s="40">
        <v>250.0</v>
      </c>
      <c r="K25" s="40">
        <v>250.0</v>
      </c>
      <c r="L25" s="40">
        <v>250.0</v>
      </c>
      <c r="M25" s="40">
        <v>250.0</v>
      </c>
      <c r="N25" s="41">
        <f t="shared" si="5"/>
        <v>2850</v>
      </c>
      <c r="O25" s="2"/>
      <c r="P25" s="49"/>
      <c r="Q25" s="2"/>
      <c r="R25" s="2"/>
      <c r="S25" s="2"/>
      <c r="T25" s="3"/>
      <c r="U25" s="3"/>
      <c r="V25" s="2"/>
      <c r="W25" s="3"/>
      <c r="X25" s="3"/>
      <c r="Y25" s="3"/>
      <c r="Z25" s="3"/>
    </row>
    <row r="26" ht="15.75" customHeight="1">
      <c r="A26" s="45" t="s">
        <v>33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>
        <f t="shared" si="5"/>
        <v>0</v>
      </c>
      <c r="O26" s="2"/>
      <c r="P26" s="49"/>
      <c r="Q26" s="2"/>
      <c r="R26" s="2"/>
      <c r="S26" s="2"/>
      <c r="T26" s="3"/>
      <c r="U26" s="3"/>
      <c r="V26" s="2"/>
      <c r="W26" s="3"/>
      <c r="X26" s="3"/>
      <c r="Y26" s="3"/>
      <c r="Z26" s="3"/>
    </row>
    <row r="27" ht="15.75" customHeight="1">
      <c r="A27" s="56" t="s">
        <v>34</v>
      </c>
      <c r="B27" s="57"/>
      <c r="C27" s="57"/>
      <c r="D27" s="57"/>
      <c r="E27" s="57"/>
      <c r="F27" s="57"/>
      <c r="G27" s="57"/>
      <c r="H27" s="57"/>
      <c r="I27" s="53"/>
      <c r="J27" s="57"/>
      <c r="K27" s="57"/>
      <c r="L27" s="57"/>
      <c r="M27" s="57"/>
      <c r="N27" s="41">
        <f t="shared" si="5"/>
        <v>0</v>
      </c>
      <c r="O27" s="38"/>
      <c r="P27" s="49"/>
      <c r="Q27" s="50"/>
      <c r="R27" s="50"/>
      <c r="T27" s="3"/>
      <c r="U27" s="3"/>
      <c r="V27" s="58"/>
      <c r="W27" s="59"/>
      <c r="X27" s="3"/>
      <c r="Y27" s="3"/>
      <c r="Z27" s="3"/>
    </row>
    <row r="28" ht="15.75" customHeight="1">
      <c r="A28" s="25" t="s">
        <v>35</v>
      </c>
      <c r="B28" s="60">
        <f t="shared" ref="B28:M28" si="6">SUM(B15:B27)</f>
        <v>28565.34</v>
      </c>
      <c r="C28" s="60">
        <f t="shared" si="6"/>
        <v>46305.34</v>
      </c>
      <c r="D28" s="60">
        <f t="shared" si="6"/>
        <v>87710.58</v>
      </c>
      <c r="E28" s="60">
        <f t="shared" si="6"/>
        <v>115747.09</v>
      </c>
      <c r="F28" s="60">
        <f t="shared" si="6"/>
        <v>35847.9</v>
      </c>
      <c r="G28" s="60">
        <f t="shared" si="6"/>
        <v>62908.1</v>
      </c>
      <c r="H28" s="60">
        <f t="shared" si="6"/>
        <v>100850.17</v>
      </c>
      <c r="I28" s="60">
        <f t="shared" si="6"/>
        <v>65948.8</v>
      </c>
      <c r="J28" s="60">
        <f t="shared" si="6"/>
        <v>36764.77</v>
      </c>
      <c r="K28" s="60">
        <f t="shared" si="6"/>
        <v>43197.81</v>
      </c>
      <c r="L28" s="60">
        <f t="shared" si="6"/>
        <v>58376.67</v>
      </c>
      <c r="M28" s="60">
        <f t="shared" si="6"/>
        <v>141885.39</v>
      </c>
      <c r="N28" s="61">
        <f t="shared" si="5"/>
        <v>824107.96</v>
      </c>
      <c r="O28" s="7"/>
      <c r="P28" s="50"/>
      <c r="Q28" s="2"/>
      <c r="R28" s="2"/>
      <c r="S28" s="2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"/>
      <c r="C29" s="1"/>
      <c r="D29" s="1"/>
      <c r="E29" s="62"/>
      <c r="F29" s="62"/>
      <c r="G29" s="62"/>
      <c r="H29" s="62"/>
      <c r="I29" s="62"/>
      <c r="J29" s="1"/>
      <c r="K29" s="1"/>
      <c r="L29" s="29"/>
      <c r="M29" s="3"/>
      <c r="N29" s="3"/>
      <c r="O29" s="3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36</v>
      </c>
      <c r="B30" s="5" t="s">
        <v>1</v>
      </c>
      <c r="C30" s="5" t="s">
        <v>2</v>
      </c>
      <c r="D30" s="5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  <c r="L30" s="4" t="s">
        <v>11</v>
      </c>
      <c r="M30" s="4" t="s">
        <v>12</v>
      </c>
      <c r="N30" s="63" t="s">
        <v>37</v>
      </c>
      <c r="O30" s="3"/>
      <c r="P30" s="2"/>
      <c r="Q30" s="3"/>
      <c r="R30" s="2"/>
      <c r="S30" s="2"/>
      <c r="T30" s="3"/>
      <c r="U30" s="3"/>
      <c r="V30" s="3"/>
      <c r="W30" s="3"/>
      <c r="X30" s="3"/>
      <c r="Y30" s="3"/>
      <c r="Z30" s="3"/>
    </row>
    <row r="31" ht="15.75" customHeight="1">
      <c r="A31" s="25" t="s">
        <v>38</v>
      </c>
      <c r="B31" s="64">
        <f t="shared" ref="B31:M31" si="7">MINUS(B11,B28)</f>
        <v>8068.32</v>
      </c>
      <c r="C31" s="64">
        <f t="shared" si="7"/>
        <v>12335.51</v>
      </c>
      <c r="D31" s="64">
        <f t="shared" si="7"/>
        <v>57872.41</v>
      </c>
      <c r="E31" s="64">
        <f t="shared" si="7"/>
        <v>9803.36</v>
      </c>
      <c r="F31" s="64">
        <f t="shared" si="7"/>
        <v>12230.45</v>
      </c>
      <c r="G31" s="64">
        <f t="shared" si="7"/>
        <v>40249.69</v>
      </c>
      <c r="H31" s="64">
        <f t="shared" si="7"/>
        <v>28250.46</v>
      </c>
      <c r="I31" s="64">
        <f t="shared" si="7"/>
        <v>43905.08</v>
      </c>
      <c r="J31" s="64">
        <f t="shared" si="7"/>
        <v>13045.79</v>
      </c>
      <c r="K31" s="64">
        <f t="shared" si="7"/>
        <v>12032.42</v>
      </c>
      <c r="L31" s="64">
        <f t="shared" si="7"/>
        <v>25470.67</v>
      </c>
      <c r="M31" s="64">
        <f t="shared" si="7"/>
        <v>29117.52</v>
      </c>
      <c r="N31" s="65">
        <f>SUM(B31:M31)</f>
        <v>292381.68</v>
      </c>
      <c r="O31" s="3"/>
      <c r="P31" s="3"/>
      <c r="Q31" s="3"/>
      <c r="R31" s="3"/>
      <c r="S31" s="3"/>
      <c r="T31" s="3"/>
      <c r="U31" s="3"/>
      <c r="V31" s="2"/>
      <c r="W31" s="3"/>
      <c r="X31" s="3"/>
      <c r="Y31" s="3"/>
      <c r="Z31" s="3"/>
    </row>
    <row r="32" ht="15.75" customHeight="1">
      <c r="A32" s="5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"/>
      <c r="Q33" s="3"/>
      <c r="R33" s="2" t="s">
        <v>39</v>
      </c>
      <c r="S33" s="3"/>
      <c r="T33" s="3"/>
      <c r="U33" s="3"/>
      <c r="V33" s="3"/>
      <c r="W33" s="3"/>
      <c r="X33" s="3"/>
      <c r="Y33" s="3"/>
      <c r="Z33" s="3"/>
    </row>
    <row r="34" ht="15.75" customHeight="1">
      <c r="A34" s="66" t="s">
        <v>40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9" t="s">
        <v>24</v>
      </c>
      <c r="B35" s="67">
        <f>SUM(N17)</f>
        <v>722152.21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"/>
      <c r="N35" s="29"/>
      <c r="O35" s="29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9" t="s">
        <v>41</v>
      </c>
      <c r="B36" s="67">
        <f>SUM(N16)</f>
        <v>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"/>
      <c r="N36" s="2"/>
      <c r="O36" s="29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9" t="s">
        <v>42</v>
      </c>
      <c r="B37" s="68">
        <f>sum(N15)</f>
        <v>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"/>
      <c r="N37" s="29"/>
      <c r="O37" s="29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9" t="s">
        <v>25</v>
      </c>
      <c r="B38" s="67">
        <f>SUM(N18)</f>
        <v>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26</v>
      </c>
      <c r="B39" s="67">
        <f>sum(N19)</f>
        <v>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9"/>
      <c r="B40" s="6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2"/>
      <c r="B45" s="6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2"/>
      <c r="B46" s="70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1"/>
      <c r="B48" s="72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2"/>
      <c r="B49" s="73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74">
        <v>28878.92</v>
      </c>
      <c r="C60" s="74">
        <v>31861.15</v>
      </c>
      <c r="D60" s="74">
        <v>49521.45</v>
      </c>
      <c r="E60" s="74">
        <v>59197.38</v>
      </c>
      <c r="F60" s="74">
        <v>17322.31</v>
      </c>
      <c r="G60" s="74">
        <v>36195.39</v>
      </c>
      <c r="H60" s="75">
        <v>60320.03999999999</v>
      </c>
      <c r="I60" s="74">
        <v>37353.62</v>
      </c>
      <c r="J60" s="74">
        <v>17662.260000000002</v>
      </c>
      <c r="K60" s="76">
        <v>24140.83</v>
      </c>
      <c r="L60" s="77">
        <v>49409.46000000001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46">
        <v>19458.37</v>
      </c>
      <c r="C62" s="46">
        <v>32471.940000000002</v>
      </c>
      <c r="D62" s="46">
        <v>60360.270000000004</v>
      </c>
      <c r="E62" s="46">
        <v>80717.56</v>
      </c>
      <c r="F62" s="46">
        <v>21910.17</v>
      </c>
      <c r="G62" s="46">
        <v>42899.6</v>
      </c>
      <c r="H62" s="46">
        <v>68445.14</v>
      </c>
      <c r="I62" s="46">
        <v>44724.88</v>
      </c>
      <c r="J62" s="46">
        <v>24756.049999999996</v>
      </c>
      <c r="K62" s="47">
        <v>28049.239999999998</v>
      </c>
      <c r="L62" s="48">
        <v>48647.86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78">
        <v>485.19</v>
      </c>
      <c r="C64" s="78">
        <v>866.57</v>
      </c>
      <c r="D64" s="78">
        <v>1242.04</v>
      </c>
      <c r="E64" s="78">
        <v>1446.72</v>
      </c>
      <c r="F64" s="78">
        <v>1423.02</v>
      </c>
      <c r="G64" s="78">
        <v>945.21</v>
      </c>
      <c r="H64" s="78">
        <v>1307.16</v>
      </c>
      <c r="I64" s="78">
        <v>1391.76</v>
      </c>
      <c r="J64" s="78">
        <v>1087.14</v>
      </c>
      <c r="K64" s="79">
        <v>1084.54</v>
      </c>
      <c r="L64" s="78">
        <v>1330.8500000000001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mergeCells count="1">
    <mergeCell ref="A34:B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3" width="9.57"/>
    <col customWidth="1" min="4" max="4" width="11.14"/>
    <col customWidth="1" min="5" max="5" width="10.43"/>
    <col customWidth="1" min="6" max="6" width="10.57"/>
    <col customWidth="1" min="7" max="7" width="12.0"/>
    <col customWidth="1" min="9" max="9" width="10.29"/>
    <col customWidth="1" min="10" max="10" width="10.14"/>
    <col customWidth="1" min="11" max="11" width="9.14"/>
    <col customWidth="1" min="12" max="12" width="14.29"/>
    <col customWidth="1" min="13" max="13" width="12.0"/>
    <col customWidth="1" min="14" max="14" width="24.29"/>
  </cols>
  <sheetData>
    <row r="1" ht="15.75" customHeight="1">
      <c r="A1" s="1"/>
      <c r="B1" s="2">
        <v>2026.0</v>
      </c>
      <c r="C1" s="2">
        <v>2026.0</v>
      </c>
      <c r="D1" s="2">
        <v>2026.0</v>
      </c>
      <c r="E1" s="2">
        <v>2026.0</v>
      </c>
      <c r="F1" s="2">
        <v>2026.0</v>
      </c>
      <c r="G1" s="2">
        <v>2026.0</v>
      </c>
      <c r="H1" s="2">
        <v>2026.0</v>
      </c>
      <c r="I1" s="2">
        <v>2026.0</v>
      </c>
      <c r="J1" s="2">
        <v>2026.0</v>
      </c>
      <c r="K1" s="2">
        <v>2026.0</v>
      </c>
      <c r="L1" s="2">
        <v>2026.0</v>
      </c>
      <c r="M1" s="2">
        <v>2026.0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0</v>
      </c>
      <c r="B2" s="5" t="s">
        <v>1</v>
      </c>
      <c r="C2" s="5" t="s">
        <v>2</v>
      </c>
      <c r="D2" s="5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6" t="s">
        <v>13</v>
      </c>
      <c r="O2" s="3"/>
      <c r="P2" s="2" t="s">
        <v>43</v>
      </c>
      <c r="Q2" s="2" t="s">
        <v>44</v>
      </c>
      <c r="R2" s="2" t="s">
        <v>45</v>
      </c>
      <c r="S2" s="2" t="s">
        <v>46</v>
      </c>
      <c r="T2" s="3"/>
      <c r="U2" s="3"/>
      <c r="V2" s="3"/>
      <c r="W2" s="3"/>
      <c r="X2" s="3"/>
      <c r="Y2" s="3"/>
      <c r="Z2" s="3"/>
    </row>
    <row r="3" ht="15.75" customHeight="1">
      <c r="A3" s="1" t="s">
        <v>14</v>
      </c>
      <c r="B3" s="80">
        <v>213729.15</v>
      </c>
      <c r="C3" s="30">
        <v>64370.81</v>
      </c>
      <c r="D3" s="44"/>
      <c r="E3" s="81"/>
      <c r="F3" s="81"/>
      <c r="G3" s="82"/>
      <c r="H3" s="83"/>
      <c r="I3" s="84"/>
      <c r="J3" s="85"/>
      <c r="K3" s="83"/>
      <c r="L3" s="82"/>
      <c r="M3" s="86"/>
      <c r="N3" s="18">
        <f t="shared" ref="N3:N6" si="1">SUM(B3:M3)</f>
        <v>278099.96</v>
      </c>
      <c r="O3" s="17"/>
      <c r="P3" s="7">
        <v>24926.42</v>
      </c>
      <c r="Q3" s="2">
        <v>1140.76</v>
      </c>
      <c r="R3" s="2">
        <v>11465.8</v>
      </c>
      <c r="S3" s="2">
        <v>9488.64</v>
      </c>
      <c r="T3" s="3"/>
      <c r="U3" s="3"/>
      <c r="V3" s="3"/>
      <c r="W3" s="3"/>
      <c r="X3" s="3"/>
      <c r="Y3" s="3"/>
      <c r="Z3" s="3"/>
    </row>
    <row r="4" ht="15.75" customHeight="1">
      <c r="A4" s="19" t="s">
        <v>15</v>
      </c>
      <c r="B4" s="87">
        <v>2603.42</v>
      </c>
      <c r="C4" s="30">
        <v>1687.13</v>
      </c>
      <c r="D4" s="44"/>
      <c r="E4" s="81"/>
      <c r="F4" s="44"/>
      <c r="G4" s="81"/>
      <c r="H4" s="82"/>
      <c r="I4" s="82"/>
      <c r="J4" s="88"/>
      <c r="K4" s="43"/>
      <c r="L4" s="82"/>
      <c r="M4" s="14"/>
      <c r="N4" s="18">
        <f t="shared" si="1"/>
        <v>4290.55</v>
      </c>
      <c r="O4" s="7"/>
      <c r="P4" s="2">
        <v>12394.79</v>
      </c>
      <c r="Q4" s="2">
        <v>545.37</v>
      </c>
      <c r="R4" s="2">
        <v>3022.56</v>
      </c>
      <c r="S4" s="2">
        <v>4153.48</v>
      </c>
      <c r="T4" s="3"/>
      <c r="U4" s="3"/>
      <c r="V4" s="3"/>
      <c r="W4" s="3"/>
      <c r="X4" s="3"/>
      <c r="Y4" s="3"/>
      <c r="Z4" s="3"/>
    </row>
    <row r="5" ht="15.75" customHeight="1">
      <c r="A5" s="19" t="s">
        <v>16</v>
      </c>
      <c r="B5" s="24">
        <v>119.25</v>
      </c>
      <c r="C5" s="89">
        <v>0.0</v>
      </c>
      <c r="D5" s="89"/>
      <c r="E5" s="89"/>
      <c r="F5" s="89"/>
      <c r="G5" s="89"/>
      <c r="H5" s="89"/>
      <c r="I5" s="89"/>
      <c r="J5" s="89"/>
      <c r="K5" s="89"/>
      <c r="L5" s="89"/>
      <c r="M5" s="23"/>
      <c r="N5" s="18">
        <f t="shared" si="1"/>
        <v>119.25</v>
      </c>
      <c r="O5" s="3"/>
      <c r="P5" s="2">
        <v>10842.52</v>
      </c>
      <c r="Q5" s="2">
        <v>477.07</v>
      </c>
      <c r="R5" s="2">
        <v>3614.88</v>
      </c>
      <c r="S5" s="2">
        <v>3965.94</v>
      </c>
      <c r="T5" s="3"/>
      <c r="U5" s="3"/>
      <c r="V5" s="3"/>
      <c r="W5" s="3"/>
      <c r="X5" s="3"/>
      <c r="Y5" s="3"/>
      <c r="Z5" s="3"/>
    </row>
    <row r="6" ht="15.75" customHeight="1">
      <c r="A6" s="25" t="s">
        <v>17</v>
      </c>
      <c r="B6" s="26">
        <f t="shared" ref="B6:M6" si="2">B3-B4-B5</f>
        <v>211006.48</v>
      </c>
      <c r="C6" s="26">
        <f t="shared" si="2"/>
        <v>62683.68</v>
      </c>
      <c r="D6" s="26">
        <f t="shared" si="2"/>
        <v>0</v>
      </c>
      <c r="E6" s="26">
        <f t="shared" si="2"/>
        <v>0</v>
      </c>
      <c r="F6" s="26">
        <f t="shared" si="2"/>
        <v>0</v>
      </c>
      <c r="G6" s="26">
        <f t="shared" si="2"/>
        <v>0</v>
      </c>
      <c r="H6" s="26">
        <f t="shared" si="2"/>
        <v>0</v>
      </c>
      <c r="I6" s="26">
        <f t="shared" si="2"/>
        <v>0</v>
      </c>
      <c r="J6" s="26">
        <f t="shared" si="2"/>
        <v>0</v>
      </c>
      <c r="K6" s="26">
        <f t="shared" si="2"/>
        <v>0</v>
      </c>
      <c r="L6" s="26">
        <f t="shared" si="2"/>
        <v>0</v>
      </c>
      <c r="M6" s="26">
        <f t="shared" si="2"/>
        <v>0</v>
      </c>
      <c r="N6" s="27">
        <f t="shared" si="1"/>
        <v>273690.16</v>
      </c>
      <c r="O6" s="3"/>
      <c r="P6" s="2"/>
      <c r="Q6" s="2"/>
      <c r="R6" s="2"/>
      <c r="S6" s="2"/>
      <c r="T6" s="3"/>
      <c r="U6" s="3"/>
      <c r="V6" s="3"/>
      <c r="W6" s="3"/>
      <c r="X6" s="3"/>
      <c r="Y6" s="3"/>
      <c r="Z6" s="3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"/>
      <c r="N7" s="3"/>
      <c r="O7" s="2" t="s">
        <v>13</v>
      </c>
      <c r="P7" s="7">
        <f t="shared" ref="P7:S7" si="3">SUM(P3:P6)</f>
        <v>48163.73</v>
      </c>
      <c r="Q7" s="2">
        <f t="shared" si="3"/>
        <v>2163.2</v>
      </c>
      <c r="R7" s="2">
        <f t="shared" si="3"/>
        <v>18103.24</v>
      </c>
      <c r="S7" s="2">
        <f t="shared" si="3"/>
        <v>17608.06</v>
      </c>
      <c r="T7" s="3"/>
      <c r="U7" s="3"/>
      <c r="V7" s="3"/>
      <c r="W7" s="3"/>
      <c r="X7" s="3"/>
      <c r="Y7" s="3"/>
      <c r="Z7" s="3"/>
    </row>
    <row r="8" ht="15.75" customHeight="1">
      <c r="A8" s="29"/>
      <c r="B8" s="2">
        <v>2026.0</v>
      </c>
      <c r="C8" s="2">
        <v>2026.0</v>
      </c>
      <c r="D8" s="2">
        <v>2026.0</v>
      </c>
      <c r="E8" s="2">
        <v>2026.0</v>
      </c>
      <c r="F8" s="2">
        <v>2026.0</v>
      </c>
      <c r="G8" s="2">
        <v>2026.0</v>
      </c>
      <c r="H8" s="2">
        <v>2026.0</v>
      </c>
      <c r="I8" s="2">
        <v>2026.0</v>
      </c>
      <c r="J8" s="2">
        <v>2026.0</v>
      </c>
      <c r="K8" s="2">
        <v>2026.0</v>
      </c>
      <c r="L8" s="2">
        <v>2026.0</v>
      </c>
      <c r="M8" s="2">
        <v>2026.0</v>
      </c>
      <c r="N8" s="3"/>
      <c r="O8" s="3"/>
      <c r="P8" s="3"/>
      <c r="Q8" s="3"/>
      <c r="R8" s="2"/>
      <c r="S8" s="2"/>
      <c r="T8" s="3"/>
      <c r="U8" s="3"/>
      <c r="V8" s="3"/>
      <c r="W8" s="3"/>
      <c r="X8" s="3"/>
      <c r="Y8" s="3"/>
      <c r="Z8" s="3"/>
    </row>
    <row r="9" ht="15.75" customHeight="1">
      <c r="A9" s="4" t="s">
        <v>18</v>
      </c>
      <c r="B9" s="5" t="s">
        <v>1</v>
      </c>
      <c r="C9" s="5" t="s">
        <v>2</v>
      </c>
      <c r="D9" s="5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12</v>
      </c>
      <c r="N9" s="6" t="s">
        <v>13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9" t="s">
        <v>19</v>
      </c>
      <c r="B10" s="81">
        <v>78918.51</v>
      </c>
      <c r="C10" s="90">
        <v>23533.17</v>
      </c>
      <c r="D10" s="81"/>
      <c r="E10" s="81"/>
      <c r="F10" s="81"/>
      <c r="G10" s="81"/>
      <c r="H10" s="91"/>
      <c r="I10" s="81"/>
      <c r="J10" s="81"/>
      <c r="K10" s="43"/>
      <c r="L10" s="44"/>
      <c r="M10" s="92"/>
      <c r="N10" s="35">
        <f t="shared" ref="N10:N11" si="5">SUM(B10:M10)</f>
        <v>102451.68</v>
      </c>
      <c r="O10" s="2" t="s">
        <v>47</v>
      </c>
      <c r="P10" s="2" t="s">
        <v>48</v>
      </c>
      <c r="Q10" s="2" t="s">
        <v>49</v>
      </c>
      <c r="R10" s="2" t="s">
        <v>50</v>
      </c>
      <c r="S10" s="2" t="s">
        <v>51</v>
      </c>
      <c r="T10" s="3"/>
      <c r="U10" s="3"/>
      <c r="V10" s="3"/>
      <c r="W10" s="3"/>
      <c r="X10" s="3"/>
      <c r="Y10" s="3"/>
      <c r="Z10" s="3"/>
    </row>
    <row r="11" ht="15.75" customHeight="1">
      <c r="A11" s="25" t="s">
        <v>20</v>
      </c>
      <c r="B11" s="36">
        <f t="shared" ref="B11:M11" si="4">B6-B10</f>
        <v>132087.97</v>
      </c>
      <c r="C11" s="36">
        <f t="shared" si="4"/>
        <v>39150.51</v>
      </c>
      <c r="D11" s="36">
        <f t="shared" si="4"/>
        <v>0</v>
      </c>
      <c r="E11" s="36">
        <f t="shared" si="4"/>
        <v>0</v>
      </c>
      <c r="F11" s="36">
        <f t="shared" si="4"/>
        <v>0</v>
      </c>
      <c r="G11" s="36">
        <f t="shared" si="4"/>
        <v>0</v>
      </c>
      <c r="H11" s="36">
        <f t="shared" si="4"/>
        <v>0</v>
      </c>
      <c r="I11" s="36">
        <f t="shared" si="4"/>
        <v>0</v>
      </c>
      <c r="J11" s="36">
        <f t="shared" si="4"/>
        <v>0</v>
      </c>
      <c r="K11" s="36">
        <f t="shared" si="4"/>
        <v>0</v>
      </c>
      <c r="L11" s="36">
        <f t="shared" si="4"/>
        <v>0</v>
      </c>
      <c r="M11" s="36">
        <f t="shared" si="4"/>
        <v>0</v>
      </c>
      <c r="N11" s="37">
        <f t="shared" si="5"/>
        <v>171238.48</v>
      </c>
      <c r="O11" s="3"/>
      <c r="P11" s="2">
        <v>370.7</v>
      </c>
      <c r="Q11" s="2">
        <v>136.21</v>
      </c>
      <c r="R11" s="2">
        <v>152.89</v>
      </c>
      <c r="S11" s="2">
        <v>79.89</v>
      </c>
      <c r="T11" s="3"/>
      <c r="U11" s="3"/>
      <c r="V11" s="3"/>
      <c r="W11" s="3"/>
      <c r="X11" s="3"/>
      <c r="Y11" s="3"/>
      <c r="Z11" s="3"/>
    </row>
    <row r="12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"/>
      <c r="K12" s="2"/>
      <c r="L12" s="2"/>
      <c r="M12" s="3"/>
      <c r="N12" s="3"/>
      <c r="O12" s="3"/>
      <c r="P12" s="2">
        <v>310.43</v>
      </c>
      <c r="Q12" s="2">
        <v>83.74</v>
      </c>
      <c r="R12" s="3"/>
      <c r="S12" s="2"/>
      <c r="T12" s="3"/>
      <c r="U12" s="3"/>
      <c r="V12" s="3"/>
      <c r="W12" s="3"/>
      <c r="X12" s="3"/>
      <c r="Y12" s="3"/>
      <c r="Z12" s="3"/>
    </row>
    <row r="13" ht="15.75" customHeight="1">
      <c r="A13" s="29"/>
      <c r="B13" s="2">
        <v>2026.0</v>
      </c>
      <c r="C13" s="2">
        <v>2026.0</v>
      </c>
      <c r="D13" s="2">
        <v>2026.0</v>
      </c>
      <c r="E13" s="2">
        <v>2026.0</v>
      </c>
      <c r="F13" s="2">
        <v>2026.0</v>
      </c>
      <c r="G13" s="2">
        <v>2026.0</v>
      </c>
      <c r="H13" s="2">
        <v>2026.0</v>
      </c>
      <c r="I13" s="2">
        <v>2026.0</v>
      </c>
      <c r="J13" s="2">
        <v>2026.0</v>
      </c>
      <c r="K13" s="2">
        <v>2026.0</v>
      </c>
      <c r="L13" s="2">
        <v>2026.0</v>
      </c>
      <c r="M13" s="2">
        <v>2026.0</v>
      </c>
      <c r="N13" s="3"/>
      <c r="O13" s="3"/>
      <c r="P13" s="2"/>
      <c r="Q13" s="2"/>
      <c r="R13" s="3"/>
      <c r="S13" s="2"/>
      <c r="T13" s="3"/>
      <c r="U13" s="3"/>
      <c r="V13" s="3"/>
      <c r="W13" s="3"/>
      <c r="X13" s="3"/>
      <c r="Y13" s="3"/>
      <c r="Z13" s="3"/>
    </row>
    <row r="14" ht="15.75" customHeight="1">
      <c r="A14" s="4" t="s">
        <v>21</v>
      </c>
      <c r="B14" s="5" t="s">
        <v>1</v>
      </c>
      <c r="C14" s="5" t="s">
        <v>2</v>
      </c>
      <c r="D14" s="5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  <c r="L14" s="4" t="s">
        <v>11</v>
      </c>
      <c r="M14" s="4" t="s">
        <v>12</v>
      </c>
      <c r="N14" s="6" t="s">
        <v>13</v>
      </c>
      <c r="O14" s="3"/>
      <c r="P14" s="2"/>
      <c r="Q14" s="2"/>
      <c r="R14" s="3"/>
      <c r="S14" s="2"/>
      <c r="T14" s="3"/>
      <c r="U14" s="3"/>
      <c r="V14" s="3"/>
      <c r="W14" s="3"/>
      <c r="X14" s="3"/>
      <c r="Y14" s="3"/>
      <c r="Z14" s="3"/>
    </row>
    <row r="15" ht="15.75" customHeight="1">
      <c r="A15" s="39" t="s">
        <v>22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>
        <f t="shared" ref="N15:N28" si="6">SUM(B15:M15)</f>
        <v>0</v>
      </c>
      <c r="O15" s="2" t="s">
        <v>13</v>
      </c>
      <c r="P15" s="2">
        <v>912.13</v>
      </c>
      <c r="Q15" s="3">
        <f>Q11+Q12+Q13+Q14</f>
        <v>219.95</v>
      </c>
      <c r="R15" s="2">
        <v>204.74</v>
      </c>
      <c r="S15" s="2">
        <v>106.98</v>
      </c>
      <c r="T15" s="3">
        <f>P15+Q15+R15+S15</f>
        <v>1443.8</v>
      </c>
      <c r="U15" s="3"/>
      <c r="V15" s="3"/>
      <c r="W15" s="3"/>
      <c r="X15" s="3"/>
      <c r="Y15" s="3"/>
      <c r="Z15" s="3"/>
    </row>
    <row r="16" ht="15.75" customHeight="1">
      <c r="A16" s="42" t="s">
        <v>23</v>
      </c>
      <c r="B16" s="40"/>
      <c r="C16" s="40"/>
      <c r="D16" s="40"/>
      <c r="E16" s="40"/>
      <c r="F16" s="40"/>
      <c r="G16" s="40"/>
      <c r="H16" s="40"/>
      <c r="I16" s="40"/>
      <c r="J16" s="40"/>
      <c r="K16" s="43"/>
      <c r="L16" s="44"/>
      <c r="M16" s="44"/>
      <c r="N16" s="41">
        <f t="shared" si="6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5" t="s">
        <v>24</v>
      </c>
      <c r="B17" s="40">
        <v>92724.27</v>
      </c>
      <c r="C17" s="93">
        <v>24194.98</v>
      </c>
      <c r="D17" s="40"/>
      <c r="E17" s="40"/>
      <c r="F17" s="40"/>
      <c r="G17" s="40"/>
      <c r="H17" s="40"/>
      <c r="I17" s="40"/>
      <c r="J17" s="40"/>
      <c r="K17" s="43"/>
      <c r="L17" s="44"/>
      <c r="M17" s="33"/>
      <c r="N17" s="41">
        <f t="shared" si="6"/>
        <v>116919.25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2" t="s">
        <v>25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>
        <f t="shared" si="6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5" t="s">
        <v>26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>
        <f t="shared" si="6"/>
        <v>0</v>
      </c>
      <c r="O19" s="3"/>
      <c r="P19" s="7"/>
      <c r="Q19" s="7"/>
      <c r="R19" s="7"/>
      <c r="S19" s="7"/>
      <c r="T19" s="3"/>
      <c r="U19" s="3"/>
      <c r="V19" s="3"/>
      <c r="W19" s="3"/>
      <c r="X19" s="3"/>
      <c r="Y19" s="3"/>
      <c r="Z19" s="3"/>
    </row>
    <row r="20" ht="15.75" customHeight="1">
      <c r="A20" s="51" t="s">
        <v>27</v>
      </c>
      <c r="B20" s="40">
        <v>9404.08</v>
      </c>
      <c r="C20" s="93">
        <v>2891.12</v>
      </c>
      <c r="D20" s="40"/>
      <c r="E20" s="40"/>
      <c r="F20" s="57"/>
      <c r="G20" s="57"/>
      <c r="H20" s="57"/>
      <c r="I20" s="57"/>
      <c r="J20" s="57"/>
      <c r="K20" s="57"/>
      <c r="L20" s="57"/>
      <c r="M20" s="94"/>
      <c r="N20" s="41">
        <f t="shared" si="6"/>
        <v>12295.2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9" t="s">
        <v>28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54"/>
      <c r="N21" s="41">
        <f t="shared" si="6"/>
        <v>0</v>
      </c>
      <c r="O21" s="3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9" t="s">
        <v>29</v>
      </c>
      <c r="B22" s="21">
        <v>2385.3100000000004</v>
      </c>
      <c r="C22" s="21">
        <v>1443.8</v>
      </c>
      <c r="D22" s="40"/>
      <c r="E22" s="40"/>
      <c r="F22" s="40"/>
      <c r="G22" s="40"/>
      <c r="H22" s="40"/>
      <c r="I22" s="40"/>
      <c r="J22" s="40"/>
      <c r="K22" s="40"/>
      <c r="L22" s="40"/>
      <c r="M22" s="95"/>
      <c r="N22" s="41">
        <f t="shared" si="6"/>
        <v>3829.11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9" t="s">
        <v>30</v>
      </c>
      <c r="B23" s="40"/>
      <c r="C23" s="40"/>
      <c r="D23" s="40"/>
      <c r="E23" s="40"/>
      <c r="F23" s="40"/>
      <c r="G23" s="40"/>
      <c r="H23" s="40"/>
      <c r="I23" s="40"/>
      <c r="J23" s="40"/>
      <c r="K23" s="43"/>
      <c r="L23" s="44"/>
      <c r="M23" s="44"/>
      <c r="N23" s="41">
        <f t="shared" si="6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5" t="s">
        <v>31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>
        <f t="shared" si="6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1" t="s">
        <v>32</v>
      </c>
      <c r="B25" s="40">
        <v>250.0</v>
      </c>
      <c r="C25" s="40">
        <v>250.0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1">
        <f t="shared" si="6"/>
        <v>500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5" t="s">
        <v>33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>
        <f t="shared" si="6"/>
        <v>0</v>
      </c>
      <c r="O26" s="3"/>
      <c r="P26" s="7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6" t="s">
        <v>34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41">
        <f t="shared" si="6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5" t="s">
        <v>35</v>
      </c>
      <c r="B28" s="60">
        <f t="shared" ref="B28:M28" si="7">SUM(B15:B27)</f>
        <v>104763.66</v>
      </c>
      <c r="C28" s="60">
        <f t="shared" si="7"/>
        <v>28779.9</v>
      </c>
      <c r="D28" s="60">
        <f t="shared" si="7"/>
        <v>0</v>
      </c>
      <c r="E28" s="60">
        <f t="shared" si="7"/>
        <v>0</v>
      </c>
      <c r="F28" s="60">
        <f t="shared" si="7"/>
        <v>0</v>
      </c>
      <c r="G28" s="60">
        <f t="shared" si="7"/>
        <v>0</v>
      </c>
      <c r="H28" s="60">
        <f t="shared" si="7"/>
        <v>0</v>
      </c>
      <c r="I28" s="60">
        <f t="shared" si="7"/>
        <v>0</v>
      </c>
      <c r="J28" s="60">
        <f t="shared" si="7"/>
        <v>0</v>
      </c>
      <c r="K28" s="60">
        <f t="shared" si="7"/>
        <v>0</v>
      </c>
      <c r="L28" s="60">
        <f t="shared" si="7"/>
        <v>0</v>
      </c>
      <c r="M28" s="60">
        <f t="shared" si="7"/>
        <v>0</v>
      </c>
      <c r="N28" s="61">
        <f t="shared" si="6"/>
        <v>133543.56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1"/>
      <c r="C29" s="1"/>
      <c r="D29" s="1"/>
      <c r="E29" s="62"/>
      <c r="F29" s="62"/>
      <c r="G29" s="62"/>
      <c r="H29" s="62"/>
      <c r="I29" s="62"/>
      <c r="J29" s="1"/>
      <c r="K29" s="1"/>
      <c r="L29" s="2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36</v>
      </c>
      <c r="B30" s="5" t="s">
        <v>1</v>
      </c>
      <c r="C30" s="5" t="s">
        <v>2</v>
      </c>
      <c r="D30" s="5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  <c r="L30" s="4" t="s">
        <v>11</v>
      </c>
      <c r="M30" s="4" t="s">
        <v>12</v>
      </c>
      <c r="N30" s="63" t="s">
        <v>37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5" t="s">
        <v>38</v>
      </c>
      <c r="B31" s="64">
        <f t="shared" ref="B31:M31" si="8">MINUS(B11,B28)</f>
        <v>27324.31</v>
      </c>
      <c r="C31" s="64">
        <f t="shared" si="8"/>
        <v>10370.61</v>
      </c>
      <c r="D31" s="64">
        <f t="shared" si="8"/>
        <v>0</v>
      </c>
      <c r="E31" s="64">
        <f t="shared" si="8"/>
        <v>0</v>
      </c>
      <c r="F31" s="64">
        <f t="shared" si="8"/>
        <v>0</v>
      </c>
      <c r="G31" s="64">
        <f t="shared" si="8"/>
        <v>0</v>
      </c>
      <c r="H31" s="64">
        <f t="shared" si="8"/>
        <v>0</v>
      </c>
      <c r="I31" s="64">
        <f t="shared" si="8"/>
        <v>0</v>
      </c>
      <c r="J31" s="64">
        <f t="shared" si="8"/>
        <v>0</v>
      </c>
      <c r="K31" s="64">
        <f t="shared" si="8"/>
        <v>0</v>
      </c>
      <c r="L31" s="64">
        <f t="shared" si="8"/>
        <v>0</v>
      </c>
      <c r="M31" s="64">
        <f t="shared" si="8"/>
        <v>0</v>
      </c>
      <c r="N31" s="65">
        <f>SUM(B31:M31)</f>
        <v>37694.92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6" t="s">
        <v>40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9" t="s">
        <v>24</v>
      </c>
      <c r="B35" s="67">
        <f>SUM(N17)</f>
        <v>116919.25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"/>
      <c r="N35" s="29"/>
      <c r="O35" s="29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9" t="s">
        <v>41</v>
      </c>
      <c r="B36" s="67">
        <f>SUM(N16)</f>
        <v>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"/>
      <c r="N36" s="2"/>
      <c r="O36" s="29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9" t="s">
        <v>42</v>
      </c>
      <c r="B37" s="68">
        <f>sum(N15)</f>
        <v>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"/>
      <c r="N37" s="29"/>
      <c r="O37" s="29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9" t="s">
        <v>25</v>
      </c>
      <c r="B38" s="67">
        <f>SUM(N18)</f>
        <v>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26</v>
      </c>
      <c r="B39" s="67">
        <f>sum(N19)</f>
        <v>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9"/>
      <c r="B40" s="6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2"/>
      <c r="B45" s="6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2"/>
      <c r="B46" s="70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1"/>
      <c r="B48" s="72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2"/>
      <c r="B49" s="73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autoFilter ref="$L$19:$L$28"/>
  <mergeCells count="1">
    <mergeCell ref="A34:B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96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97"/>
      <c r="B2" s="98"/>
      <c r="C2" s="1"/>
      <c r="D2" s="1"/>
      <c r="E2" s="1"/>
      <c r="F2" s="1"/>
      <c r="G2" s="1"/>
      <c r="H2" s="1"/>
      <c r="I2" s="1"/>
      <c r="J2" s="1"/>
      <c r="K2" s="1"/>
      <c r="L2" s="2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2">
        <v>2023.0</v>
      </c>
      <c r="C3" s="2">
        <v>2023.0</v>
      </c>
      <c r="D3" s="2">
        <v>2023.0</v>
      </c>
      <c r="E3" s="2">
        <v>2023.0</v>
      </c>
      <c r="F3" s="2">
        <v>2023.0</v>
      </c>
      <c r="G3" s="2">
        <v>2023.0</v>
      </c>
      <c r="H3" s="2">
        <v>2023.0</v>
      </c>
      <c r="I3" s="2">
        <v>2023.0</v>
      </c>
      <c r="J3" s="2">
        <v>2023.0</v>
      </c>
      <c r="K3" s="2">
        <v>2023.0</v>
      </c>
      <c r="L3" s="2">
        <v>2023.0</v>
      </c>
      <c r="M3" s="2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0</v>
      </c>
      <c r="B4" s="5" t="s">
        <v>1</v>
      </c>
      <c r="C4" s="5" t="s">
        <v>2</v>
      </c>
      <c r="D4" s="5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6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14</v>
      </c>
      <c r="B5" s="80"/>
      <c r="C5" s="81"/>
      <c r="D5" s="44"/>
      <c r="E5" s="81"/>
      <c r="F5" s="81"/>
      <c r="G5" s="82"/>
      <c r="H5" s="83"/>
      <c r="I5" s="84"/>
      <c r="J5" s="85"/>
      <c r="K5" s="83"/>
      <c r="L5" s="82"/>
      <c r="M5" s="82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80"/>
      <c r="C6" s="81"/>
      <c r="D6" s="44"/>
      <c r="E6" s="81"/>
      <c r="F6" s="44"/>
      <c r="G6" s="81"/>
      <c r="H6" s="82"/>
      <c r="I6" s="82"/>
      <c r="J6" s="88"/>
      <c r="K6" s="43"/>
      <c r="L6" s="82"/>
      <c r="M6" s="82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5" t="s">
        <v>17</v>
      </c>
      <c r="B8" s="26">
        <f t="shared" ref="B8:M8" si="2">B5-B6-B7</f>
        <v>0</v>
      </c>
      <c r="C8" s="26">
        <f t="shared" si="2"/>
        <v>0</v>
      </c>
      <c r="D8" s="26">
        <f t="shared" si="2"/>
        <v>0</v>
      </c>
      <c r="E8" s="26">
        <f t="shared" si="2"/>
        <v>0</v>
      </c>
      <c r="F8" s="26">
        <f t="shared" si="2"/>
        <v>0</v>
      </c>
      <c r="G8" s="26">
        <f t="shared" si="2"/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7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"/>
      <c r="N9" s="3"/>
      <c r="O9" s="3"/>
      <c r="P9" s="3"/>
      <c r="Q9" s="3"/>
      <c r="R9" s="3"/>
      <c r="S9" s="2"/>
      <c r="T9" s="3"/>
      <c r="U9" s="3"/>
      <c r="V9" s="3"/>
      <c r="W9" s="3"/>
      <c r="X9" s="3"/>
      <c r="Y9" s="3"/>
      <c r="Z9" s="3"/>
    </row>
    <row r="10" ht="15.75" customHeight="1">
      <c r="A10" s="29"/>
      <c r="B10" s="2">
        <v>2023.0</v>
      </c>
      <c r="C10" s="2">
        <v>2023.0</v>
      </c>
      <c r="D10" s="2">
        <v>2023.0</v>
      </c>
      <c r="E10" s="2">
        <v>2023.0</v>
      </c>
      <c r="F10" s="2">
        <v>2023.0</v>
      </c>
      <c r="G10" s="2">
        <v>2023.0</v>
      </c>
      <c r="H10" s="2">
        <v>2023.0</v>
      </c>
      <c r="I10" s="2">
        <v>2023.0</v>
      </c>
      <c r="J10" s="2">
        <v>2023.0</v>
      </c>
      <c r="K10" s="2">
        <v>2023.0</v>
      </c>
      <c r="L10" s="2">
        <v>2023.0</v>
      </c>
      <c r="M10" s="2">
        <v>2023.0</v>
      </c>
      <c r="N10" s="3"/>
      <c r="O10" s="3"/>
      <c r="P10" s="3"/>
      <c r="Q10" s="3"/>
      <c r="R10" s="2"/>
      <c r="S10" s="2"/>
      <c r="T10" s="3"/>
      <c r="U10" s="3"/>
      <c r="V10" s="3"/>
      <c r="W10" s="3"/>
      <c r="X10" s="3"/>
      <c r="Y10" s="3"/>
      <c r="Z10" s="3"/>
    </row>
    <row r="11" ht="15.75" customHeight="1">
      <c r="A11" s="4" t="s">
        <v>18</v>
      </c>
      <c r="B11" s="5" t="s">
        <v>1</v>
      </c>
      <c r="C11" s="5" t="s">
        <v>2</v>
      </c>
      <c r="D11" s="5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10</v>
      </c>
      <c r="L11" s="4" t="s">
        <v>11</v>
      </c>
      <c r="M11" s="4" t="s">
        <v>12</v>
      </c>
      <c r="N11" s="6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81"/>
      <c r="C12" s="81"/>
      <c r="D12" s="81"/>
      <c r="E12" s="81"/>
      <c r="F12" s="81"/>
      <c r="G12" s="81"/>
      <c r="H12" s="91"/>
      <c r="I12" s="81"/>
      <c r="J12" s="81"/>
      <c r="K12" s="43"/>
      <c r="L12" s="44"/>
      <c r="M12" s="99"/>
      <c r="N12" s="35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5" t="s">
        <v>20</v>
      </c>
      <c r="B13" s="36">
        <f t="shared" ref="B13:M13" si="3">B8-B12</f>
        <v>0</v>
      </c>
      <c r="C13" s="36">
        <f t="shared" si="3"/>
        <v>0</v>
      </c>
      <c r="D13" s="36">
        <f t="shared" si="3"/>
        <v>0</v>
      </c>
      <c r="E13" s="36">
        <f t="shared" si="3"/>
        <v>0</v>
      </c>
      <c r="F13" s="36">
        <f t="shared" si="3"/>
        <v>0</v>
      </c>
      <c r="G13" s="36">
        <f t="shared" si="3"/>
        <v>0</v>
      </c>
      <c r="H13" s="36">
        <f t="shared" si="3"/>
        <v>0</v>
      </c>
      <c r="I13" s="36">
        <f t="shared" si="3"/>
        <v>0</v>
      </c>
      <c r="J13" s="36">
        <f t="shared" si="3"/>
        <v>0</v>
      </c>
      <c r="K13" s="36">
        <f t="shared" si="3"/>
        <v>0</v>
      </c>
      <c r="L13" s="36">
        <f t="shared" si="3"/>
        <v>0</v>
      </c>
      <c r="M13" s="36">
        <f t="shared" si="3"/>
        <v>0</v>
      </c>
      <c r="N13" s="37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9"/>
      <c r="B15" s="2">
        <v>2023.0</v>
      </c>
      <c r="C15" s="2">
        <v>2023.0</v>
      </c>
      <c r="D15" s="2">
        <v>2023.0</v>
      </c>
      <c r="E15" s="2">
        <v>2023.0</v>
      </c>
      <c r="F15" s="2">
        <v>2023.0</v>
      </c>
      <c r="G15" s="2">
        <v>2023.0</v>
      </c>
      <c r="H15" s="2">
        <v>2023.0</v>
      </c>
      <c r="I15" s="2">
        <v>2023.0</v>
      </c>
      <c r="J15" s="2">
        <v>2023.0</v>
      </c>
      <c r="K15" s="2">
        <v>2023.0</v>
      </c>
      <c r="L15" s="2">
        <v>2023.0</v>
      </c>
      <c r="M15" s="2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21</v>
      </c>
      <c r="B16" s="5" t="s">
        <v>1</v>
      </c>
      <c r="C16" s="5" t="s">
        <v>2</v>
      </c>
      <c r="D16" s="5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6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9" t="s">
        <v>22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2" t="s">
        <v>23</v>
      </c>
      <c r="B18" s="40"/>
      <c r="C18" s="40"/>
      <c r="D18" s="40"/>
      <c r="E18" s="40"/>
      <c r="F18" s="40"/>
      <c r="G18" s="40"/>
      <c r="H18" s="40"/>
      <c r="I18" s="40"/>
      <c r="J18" s="40"/>
      <c r="K18" s="43"/>
      <c r="L18" s="44"/>
      <c r="M18" s="44"/>
      <c r="N18" s="41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5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3"/>
      <c r="L19" s="44"/>
      <c r="M19" s="44"/>
      <c r="N19" s="41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2" t="s">
        <v>25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5" t="s">
        <v>26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1" t="s">
        <v>27</v>
      </c>
      <c r="B22" s="40"/>
      <c r="C22" s="40"/>
      <c r="D22" s="40"/>
      <c r="E22" s="40"/>
      <c r="F22" s="57"/>
      <c r="G22" s="57"/>
      <c r="H22" s="57"/>
      <c r="I22" s="57"/>
      <c r="J22" s="57"/>
      <c r="K22" s="57"/>
      <c r="L22" s="57"/>
      <c r="M22" s="57"/>
      <c r="N22" s="41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9" t="s">
        <v>28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54"/>
      <c r="N23" s="41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9" t="s">
        <v>29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54"/>
      <c r="N24" s="41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9" t="s">
        <v>30</v>
      </c>
      <c r="B25" s="40"/>
      <c r="C25" s="40"/>
      <c r="D25" s="40"/>
      <c r="E25" s="40"/>
      <c r="F25" s="40"/>
      <c r="G25" s="40"/>
      <c r="H25" s="40"/>
      <c r="I25" s="40"/>
      <c r="J25" s="40"/>
      <c r="K25" s="43"/>
      <c r="L25" s="44"/>
      <c r="M25" s="44"/>
      <c r="N25" s="41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5" t="s">
        <v>31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1" t="s">
        <v>32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5" t="s">
        <v>33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1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6" t="s">
        <v>34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41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5" t="s">
        <v>35</v>
      </c>
      <c r="B30" s="60">
        <f t="shared" ref="B30:M30" si="6">SUM(B17:B29)</f>
        <v>0</v>
      </c>
      <c r="C30" s="60">
        <f t="shared" si="6"/>
        <v>0</v>
      </c>
      <c r="D30" s="60">
        <f t="shared" si="6"/>
        <v>0</v>
      </c>
      <c r="E30" s="60">
        <f t="shared" si="6"/>
        <v>0</v>
      </c>
      <c r="F30" s="60">
        <f t="shared" si="6"/>
        <v>0</v>
      </c>
      <c r="G30" s="60">
        <f t="shared" si="6"/>
        <v>0</v>
      </c>
      <c r="H30" s="60">
        <f t="shared" si="6"/>
        <v>0</v>
      </c>
      <c r="I30" s="60">
        <f t="shared" si="6"/>
        <v>0</v>
      </c>
      <c r="J30" s="60">
        <f t="shared" si="6"/>
        <v>0</v>
      </c>
      <c r="K30" s="60">
        <f t="shared" si="6"/>
        <v>0</v>
      </c>
      <c r="L30" s="60">
        <f t="shared" si="6"/>
        <v>0</v>
      </c>
      <c r="M30" s="60">
        <f t="shared" si="6"/>
        <v>0</v>
      </c>
      <c r="N30" s="61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"/>
      <c r="C31" s="1"/>
      <c r="D31" s="1"/>
      <c r="E31" s="62"/>
      <c r="F31" s="62"/>
      <c r="G31" s="62"/>
      <c r="H31" s="62"/>
      <c r="I31" s="62"/>
      <c r="J31" s="1"/>
      <c r="K31" s="1"/>
      <c r="L31" s="2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36</v>
      </c>
      <c r="B32" s="5" t="s">
        <v>1</v>
      </c>
      <c r="C32" s="5" t="s">
        <v>2</v>
      </c>
      <c r="D32" s="5" t="s">
        <v>3</v>
      </c>
      <c r="E32" s="4" t="s">
        <v>4</v>
      </c>
      <c r="F32" s="4" t="s">
        <v>5</v>
      </c>
      <c r="G32" s="4" t="s">
        <v>6</v>
      </c>
      <c r="H32" s="4" t="s">
        <v>7</v>
      </c>
      <c r="I32" s="4" t="s">
        <v>8</v>
      </c>
      <c r="J32" s="4" t="s">
        <v>9</v>
      </c>
      <c r="K32" s="4" t="s">
        <v>10</v>
      </c>
      <c r="L32" s="4" t="s">
        <v>11</v>
      </c>
      <c r="M32" s="4" t="s">
        <v>12</v>
      </c>
      <c r="N32" s="63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5" t="s">
        <v>38</v>
      </c>
      <c r="B33" s="64">
        <f t="shared" ref="B33:M33" si="7">MINUS(B13,B30)</f>
        <v>0</v>
      </c>
      <c r="C33" s="64">
        <f t="shared" si="7"/>
        <v>0</v>
      </c>
      <c r="D33" s="64">
        <f t="shared" si="7"/>
        <v>0</v>
      </c>
      <c r="E33" s="64">
        <f t="shared" si="7"/>
        <v>0</v>
      </c>
      <c r="F33" s="64">
        <f t="shared" si="7"/>
        <v>0</v>
      </c>
      <c r="G33" s="64">
        <f t="shared" si="7"/>
        <v>0</v>
      </c>
      <c r="H33" s="64">
        <f t="shared" si="7"/>
        <v>0</v>
      </c>
      <c r="I33" s="64">
        <f t="shared" si="7"/>
        <v>0</v>
      </c>
      <c r="J33" s="64">
        <f t="shared" si="7"/>
        <v>0</v>
      </c>
      <c r="K33" s="64">
        <f t="shared" si="7"/>
        <v>0</v>
      </c>
      <c r="L33" s="64">
        <f t="shared" si="7"/>
        <v>0</v>
      </c>
      <c r="M33" s="64">
        <f t="shared" si="7"/>
        <v>0</v>
      </c>
      <c r="N33" s="65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6" t="s">
        <v>40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9" t="s">
        <v>24</v>
      </c>
      <c r="B37" s="67">
        <f>SUM(N19)</f>
        <v>0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"/>
      <c r="N37" s="29"/>
      <c r="O37" s="29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9" t="s">
        <v>41</v>
      </c>
      <c r="B38" s="67">
        <f>SUM(N18)</f>
        <v>0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"/>
      <c r="N38" s="2"/>
      <c r="O38" s="29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9" t="s">
        <v>42</v>
      </c>
      <c r="B39" s="68">
        <f>sum(N17)</f>
        <v>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"/>
      <c r="N39" s="29"/>
      <c r="O39" s="2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9" t="s">
        <v>25</v>
      </c>
      <c r="B40" s="67">
        <f>SUM(N20)</f>
        <v>0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26</v>
      </c>
      <c r="B41" s="67">
        <f>sum(N21)</f>
        <v>0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9"/>
      <c r="B42" s="67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62"/>
      <c r="B47" s="6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2"/>
      <c r="B48" s="70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1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1"/>
      <c r="B50" s="72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62"/>
      <c r="B51" s="73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