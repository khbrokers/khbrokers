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</sheets>
  <definedNames>
    <definedName hidden="1" localSheetId="0" name="_xlnm._FilterDatabase">'2026'!$L$21:$L$30</definedName>
    <definedName hidden="1" localSheetId="3" name="_xlnm._FilterDatabase">'2023'!$L$21:$L$30</definedName>
  </definedNames>
  <calcPr/>
</workbook>
</file>

<file path=xl/sharedStrings.xml><?xml version="1.0" encoding="utf-8"?>
<sst xmlns="http://schemas.openxmlformats.org/spreadsheetml/2006/main" count="330" uniqueCount="59">
  <si>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</si>
  <si>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</si>
  <si>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</si>
  <si>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</si>
  <si>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</si>
  <si>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</si>
  <si>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</si>
  <si>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</si>
  <si>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</si>
  <si>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</si>
  <si>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</si>
  <si>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</si>
  <si>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</si>
  <si>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</si>
  <si>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</si>
  <si>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</si>
  <si>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</si>
  <si>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</si>
  <si>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</si>
  <si>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</si>
  <si>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</si>
  <si>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</si>
  <si>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TikTok</t>
  </si>
  <si>
    <t>Google</t>
  </si>
  <si>
    <t>Facebook</t>
  </si>
  <si>
    <t>Snapchat</t>
  </si>
  <si>
    <t>Pinterest</t>
  </si>
  <si>
    <t>Processing Fees</t>
  </si>
  <si>
    <t>Content Costs</t>
  </si>
  <si>
    <t xml:space="preserve">Shopify Bill </t>
  </si>
  <si>
    <t>(Klaviyo, TripleWhale)</t>
  </si>
  <si>
    <t xml:space="preserve">3rd Party Softwares </t>
  </si>
  <si>
    <t>Virtual Assistant(s)</t>
  </si>
  <si>
    <t>Email Agency</t>
  </si>
  <si>
    <t>*ADD MORE ROWS IF NEEDED*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</si>
  <si>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</si>
  <si>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</si>
  <si>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</si>
  <si>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</si>
  <si>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</si>
  <si>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</si>
  <si>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</si>
  <si>
    <t>financial</t>
  </si>
  <si>
    <t>Website</t>
  </si>
  <si>
    <t>UGC Creators</t>
  </si>
  <si>
    <t>Triplewhale</t>
  </si>
  <si>
    <t>Shopify</t>
  </si>
  <si>
    <t>Klaviyo</t>
  </si>
  <si>
    <t>Bustem</t>
  </si>
  <si>
    <t>MarbleMedia Ramish</t>
  </si>
  <si>
    <t>Marko Customer Service</t>
  </si>
  <si>
    <t>Trademark Lawyer</t>
  </si>
  <si>
    <t>Simran Design</t>
  </si>
  <si>
    <t>TP Reviews Rasel</t>
  </si>
  <si>
    <t>Ad Acc Unbans</t>
  </si>
  <si>
    <t>Priscilla</t>
  </si>
  <si>
    <t>Apps &amp; Software</t>
  </si>
  <si>
    <t>Consultancy Agency</t>
  </si>
  <si>
    <t>Marko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</si>
</sst>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&quot;$&quot;#,##0.00"/>
    <numFmt numFmtId="166" formatCode="_(&quot;$&quot;* #,##0.00_);_(&quot;$&quot;* \(#,##0.00\);_(&quot;$&quot;* &quot;-&quot;??_);_(@_)"/>
  </numFmts>
  <fonts count="13">
    <font>
      <sz val="10.0"/>
      <color rgb="FF000000"/>
      <name val="Calibri"/>
      <scheme val="minor"/>
    </font>
    <font>
      <b/>
      <sz val="12.0"/>
      <color rgb="FFFF9900"/>
      <name val="Montserrat"/>
    </font>
    <font>
      <color theme="1"/>
      <name val="Montserrat"/>
    </font>
    <font>
      <i/>
      <u/>
      <color theme="1"/>
      <name val="Montserrat"/>
    </font>
    <font>
      <b/>
      <color rgb="FFFFFFFF"/>
      <name val="Montserrat"/>
    </font>
    <font>
      <sz val="10.0"/>
      <color theme="1"/>
      <name val="Montserrat"/>
    </font>
    <font>
      <sz val="10.0"/>
      <color rgb="FF000000"/>
      <name val="Montserrat"/>
    </font>
    <font>
      <sz val="10.0"/>
      <color rgb="FF303030"/>
      <name val="Montserrat"/>
    </font>
    <font>
      <b/>
      <color theme="1"/>
      <name val="Montserrat"/>
    </font>
    <font>
      <b/>
      <sz val="10.0"/>
      <color theme="1"/>
      <name val="Montserrat"/>
    </font>
    <font>
      <color rgb="FF000000"/>
      <name val="Montserrat"/>
    </font>
    <font>
      <color rgb="FF303030"/>
      <name val="Montserrat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680D6A"/>
        <bgColor rgb="FF680D6A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2" fontId="4" numFmtId="0" xfId="0" applyAlignment="1" applyFont="1">
      <alignment readingOrder="0"/>
    </xf>
    <xf borderId="0" fillId="2" fontId="4" numFmtId="0" xfId="0" applyAlignment="1" applyFont="1">
      <alignment horizontal="right" vertical="bottom"/>
    </xf>
    <xf borderId="0" fillId="0" fontId="5" numFmtId="164" xfId="0" applyAlignment="1" applyFont="1" applyNumberFormat="1">
      <alignment readingOrder="0" shrinkToFit="0" wrapText="0"/>
    </xf>
    <xf borderId="0" fillId="3" fontId="6" numFmtId="164" xfId="0" applyAlignment="1" applyFill="1" applyFont="1" applyNumberFormat="1">
      <alignment horizontal="right" readingOrder="0" vertical="bottom"/>
    </xf>
    <xf borderId="0" fillId="0" fontId="5" numFmtId="164" xfId="0" applyAlignment="1" applyFont="1" applyNumberFormat="1">
      <alignment readingOrder="0"/>
    </xf>
    <xf borderId="0" fillId="4" fontId="7" numFmtId="164" xfId="0" applyAlignment="1" applyFill="1" applyFont="1" applyNumberFormat="1">
      <alignment horizontal="right" readingOrder="0" shrinkToFit="0" wrapText="0"/>
    </xf>
    <xf borderId="0" fillId="4" fontId="7" numFmtId="164" xfId="0" applyAlignment="1" applyFont="1" applyNumberFormat="1">
      <alignment horizontal="right" readingOrder="0"/>
    </xf>
    <xf borderId="0" fillId="3" fontId="7" numFmtId="164" xfId="0" applyAlignment="1" applyFont="1" applyNumberFormat="1">
      <alignment horizontal="right" readingOrder="0"/>
    </xf>
    <xf borderId="0" fillId="3" fontId="6" numFmtId="164" xfId="0" applyAlignment="1" applyFont="1" applyNumberFormat="1">
      <alignment horizontal="right" readingOrder="0"/>
    </xf>
    <xf borderId="0" fillId="5" fontId="5" numFmtId="164" xfId="0" applyAlignment="1" applyFill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0" fillId="3" fontId="7" numFmtId="164" xfId="0" applyAlignment="1" applyFont="1" applyNumberFormat="1">
      <alignment readingOrder="0" shrinkToFit="0" wrapText="0"/>
    </xf>
    <xf borderId="0" fillId="3" fontId="5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shrinkToFit="0" wrapText="0"/>
    </xf>
    <xf borderId="0" fillId="5" fontId="8" numFmtId="0" xfId="0" applyAlignment="1" applyFont="1">
      <alignment vertical="bottom"/>
    </xf>
    <xf borderId="0" fillId="6" fontId="8" numFmtId="164" xfId="0" applyAlignment="1" applyFill="1" applyFont="1" applyNumberFormat="1">
      <alignment readingOrder="0" shrinkToFit="0" wrapText="0"/>
    </xf>
    <xf borderId="0" fillId="6" fontId="8" numFmtId="164" xfId="0" applyAlignment="1" applyFont="1" applyNumberFormat="1">
      <alignment readingOrder="0" vertical="bottom"/>
    </xf>
    <xf borderId="0" fillId="0" fontId="6" numFmtId="164" xfId="0" applyAlignment="1" applyFont="1" applyNumberFormat="1">
      <alignment horizontal="right" readingOrder="0"/>
    </xf>
    <xf borderId="0" fillId="0" fontId="5" numFmtId="164" xfId="0" applyAlignment="1" applyFont="1" applyNumberFormat="1">
      <alignment readingOrder="0" vertical="bottom"/>
    </xf>
    <xf borderId="0" fillId="5" fontId="5" numFmtId="164" xfId="0" applyAlignment="1" applyFont="1" applyNumberFormat="1">
      <alignment horizontal="right" readingOrder="0" vertical="bottom"/>
    </xf>
    <xf borderId="0" fillId="5" fontId="9" numFmtId="164" xfId="0" applyAlignment="1" applyFont="1" applyNumberFormat="1">
      <alignment horizontal="right" vertical="bottom"/>
    </xf>
    <xf borderId="0" fillId="5" fontId="9" numFmtId="164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5" fontId="5" numFmtId="165" xfId="0" applyAlignment="1" applyFont="1" applyNumberFormat="1">
      <alignment horizontal="right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/>
    </xf>
    <xf borderId="0" fillId="3" fontId="7" numFmtId="164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5" fontId="9" numFmtId="165" xfId="0" applyAlignment="1" applyFont="1" applyNumberFormat="1">
      <alignment horizontal="right" vertical="bottom"/>
    </xf>
    <xf borderId="0" fillId="5" fontId="9" numFmtId="165" xfId="0" applyAlignment="1" applyFont="1" applyNumberFormat="1">
      <alignment horizontal="right" readingOrder="0" vertical="bottom"/>
    </xf>
    <xf borderId="0" fillId="3" fontId="2" numFmtId="0" xfId="0" applyAlignment="1" applyFont="1">
      <alignment vertical="bottom"/>
    </xf>
    <xf borderId="0" fillId="2" fontId="4" numFmtId="0" xfId="0" applyAlignment="1" applyFont="1">
      <alignment horizontal="right" readingOrder="0" vertical="bottom"/>
    </xf>
    <xf borderId="0" fillId="5" fontId="8" numFmtId="165" xfId="0" applyAlignment="1" applyFont="1" applyNumberFormat="1">
      <alignment horizontal="right" vertical="bottom"/>
    </xf>
    <xf borderId="0" fillId="5" fontId="8" numFmtId="165" xfId="0" applyAlignment="1" applyFont="1" applyNumberFormat="1">
      <alignment horizontal="right" readingOrder="0" vertical="bottom"/>
    </xf>
    <xf borderId="0" fillId="0" fontId="8" numFmtId="0" xfId="0" applyAlignment="1" applyFont="1">
      <alignment readingOrder="0"/>
    </xf>
    <xf borderId="0" fillId="2" fontId="4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3" fontId="10" numFmtId="0" xfId="0" applyAlignment="1" applyFont="1">
      <alignment vertical="bottom"/>
    </xf>
    <xf borderId="0" fillId="3" fontId="10" numFmtId="165" xfId="0" applyAlignment="1" applyFont="1" applyNumberFormat="1">
      <alignment horizontal="right" vertical="bottom"/>
    </xf>
    <xf borderId="0" fillId="3" fontId="2" numFmtId="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4" fontId="11" numFmtId="164" xfId="0" applyAlignment="1" applyFont="1" applyNumberFormat="1">
      <alignment horizontal="right" vertical="bottom"/>
    </xf>
    <xf borderId="0" fillId="3" fontId="11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right" readingOrder="0" shrinkToFit="0" wrapText="0"/>
    </xf>
    <xf borderId="0" fillId="0" fontId="12" numFmtId="165" xfId="0" applyAlignment="1" applyFont="1" applyNumberFormat="1">
      <alignment vertical="bottom"/>
    </xf>
    <xf borderId="0" fillId="0" fontId="12" numFmtId="166" xfId="0" applyAlignment="1" applyFont="1" applyNumberFormat="1">
      <alignment vertical="bottom"/>
    </xf>
    <xf borderId="0" fillId="5" fontId="2" numFmtId="165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readingOrder="0" vertical="bottom"/>
    </xf>
    <xf borderId="0" fillId="3" fontId="2" numFmtId="165" xfId="0" applyAlignment="1" applyFont="1" applyNumberFormat="1">
      <alignment horizontal="right" readingOrder="0" vertical="bottom"/>
    </xf>
    <xf borderId="0" fillId="0" fontId="12" numFmtId="165" xfId="0" applyAlignment="1" applyFont="1" applyNumberFormat="1">
      <alignment readingOrder="0" vertical="bottom"/>
    </xf>
    <xf borderId="0" fillId="3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12" numFmtId="165" xfId="0" applyAlignment="1" applyFont="1" applyNumberFormat="1">
      <alignment vertical="bottom"/>
    </xf>
    <xf borderId="0" fillId="5" fontId="1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3" fontId="11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165" xfId="0" applyAlignment="1" applyFont="1" applyNumberFormat="1">
      <alignment readingOrder="0" vertical="bottom"/>
    </xf>
    <xf borderId="0" fillId="3" fontId="11" numFmtId="165" xfId="0" applyAlignment="1" applyFont="1" applyNumberFormat="1">
      <alignment horizontal="right" readingOrder="0" vertical="bottom"/>
    </xf>
    <xf borderId="0" fillId="3" fontId="12" numFmtId="165" xfId="0" applyAlignment="1" applyFont="1" applyNumberFormat="1">
      <alignment vertical="bottom"/>
    </xf>
    <xf borderId="0" fillId="3" fontId="12" numFmtId="165" xfId="0" applyAlignment="1" applyFont="1" applyNumberFormat="1">
      <alignment vertical="bottom"/>
    </xf>
    <xf borderId="0" fillId="0" fontId="12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'2026'!$A$37:$A$41</c:f>
            </c:strRef>
          </c:cat>
          <c:val>
            <c:numRef>
              <c:f>'2026'!$B$37:$B$41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'2025'!$A$37:$A$41</c:f>
            </c:strRef>
          </c:cat>
          <c:val>
            <c:numRef>
              <c:f>'2025'!$B$37:$B$41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'2024'!$A$34:$A$38</c:f>
            </c:strRef>
          </c:cat>
          <c:val>
            <c:numRef>
              <c:f>'2024'!$B$34:$B$38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'2023'!$A$37:$A$41</c:f>
            </c:strRef>
          </c:cat>
          <c:val>
            <c:numRef>
              <c:f>'2023'!$B$37:$B$41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16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32</xdr:row>
      <xdr:rowOff>47625</xdr:rowOff>
    </xdr:from>
    <xdr:ext cx="5772150" cy="3581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16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619125</xdr:colOff>
      <xdr:row>35</xdr:row>
      <xdr:rowOff>47625</xdr:rowOff>
    </xdr:from>
    <xdr:ext cx="5772150" cy="3581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962025</xdr:colOff>
      <xdr:row>17</xdr:row>
      <xdr:rowOff>76200</xdr:rowOff>
    </xdr:from>
    <xdr:ext cx="4048125" cy="404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2023.0</v>
      </c>
      <c r="C3" s="7">
        <v>2023.0</v>
      </c>
      <c r="D3" s="7">
        <v>2023.0</v>
      </c>
      <c r="E3" s="7">
        <v>2023.0</v>
      </c>
      <c r="F3" s="7">
        <v>2023.0</v>
      </c>
      <c r="G3" s="7">
        <v>2023.0</v>
      </c>
      <c r="H3" s="7">
        <v>2023.0</v>
      </c>
      <c r="I3" s="7">
        <v>2023.0</v>
      </c>
      <c r="J3" s="7">
        <v>2023.0</v>
      </c>
      <c r="K3" s="7">
        <v>2023.0</v>
      </c>
      <c r="L3" s="7">
        <v>2023.0</v>
      </c>
      <c r="M3" s="7">
        <v>2023.0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>
        <v>25387.0</v>
      </c>
      <c r="C5" s="12">
        <v>138938.0</v>
      </c>
      <c r="D5" s="13"/>
      <c r="E5" s="12"/>
      <c r="F5" s="12"/>
      <c r="G5" s="14"/>
      <c r="H5" s="15"/>
      <c r="I5" s="16"/>
      <c r="J5" s="17"/>
      <c r="K5" s="15"/>
      <c r="L5" s="14"/>
      <c r="M5" s="14"/>
      <c r="N5" s="18">
        <f t="shared" ref="N5:N8" si="1">SUM(B5:M5)</f>
        <v>164325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/>
      <c r="C6" s="12"/>
      <c r="D6" s="13"/>
      <c r="E6" s="12"/>
      <c r="F6" s="13"/>
      <c r="G6" s="12"/>
      <c r="H6" s="14"/>
      <c r="I6" s="14"/>
      <c r="J6" s="20"/>
      <c r="K6" s="21"/>
      <c r="L6" s="14"/>
      <c r="M6" s="14"/>
      <c r="N6" s="18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2">
        <v>189.0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18">
        <f t="shared" si="1"/>
        <v>189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3" t="s">
        <v>17</v>
      </c>
      <c r="B8" s="24">
        <f t="shared" ref="B8:M8" si="2">B5-B6-B7</f>
        <v>25198</v>
      </c>
      <c r="C8" s="24">
        <f t="shared" si="2"/>
        <v>138938</v>
      </c>
      <c r="D8" s="24">
        <f t="shared" si="2"/>
        <v>0</v>
      </c>
      <c r="E8" s="24">
        <f t="shared" si="2"/>
        <v>0</v>
      </c>
      <c r="F8" s="24">
        <f t="shared" si="2"/>
        <v>0</v>
      </c>
      <c r="G8" s="24">
        <f t="shared" si="2"/>
        <v>0</v>
      </c>
      <c r="H8" s="24">
        <f t="shared" si="2"/>
        <v>0</v>
      </c>
      <c r="I8" s="24">
        <f t="shared" si="2"/>
        <v>0</v>
      </c>
      <c r="J8" s="24">
        <f t="shared" si="2"/>
        <v>0</v>
      </c>
      <c r="K8" s="24">
        <f t="shared" si="2"/>
        <v>0</v>
      </c>
      <c r="L8" s="24">
        <f t="shared" si="2"/>
        <v>0</v>
      </c>
      <c r="M8" s="24">
        <f t="shared" si="2"/>
        <v>0</v>
      </c>
      <c r="N8" s="25">
        <f t="shared" si="1"/>
        <v>164136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2026.0</v>
      </c>
      <c r="C10" s="7">
        <v>2026.0</v>
      </c>
      <c r="D10" s="7">
        <v>2026.0</v>
      </c>
      <c r="E10" s="7">
        <v>2026.0</v>
      </c>
      <c r="F10" s="7">
        <v>2026.0</v>
      </c>
      <c r="G10" s="7">
        <v>2026.0</v>
      </c>
      <c r="H10" s="7">
        <v>2023.0</v>
      </c>
      <c r="I10" s="7">
        <v>2023.0</v>
      </c>
      <c r="J10" s="7">
        <v>2023.0</v>
      </c>
      <c r="K10" s="7">
        <v>2023.0</v>
      </c>
      <c r="L10" s="7">
        <v>2023.0</v>
      </c>
      <c r="M10" s="7">
        <v>2023.0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19</v>
      </c>
      <c r="B12" s="12">
        <v>4140.0</v>
      </c>
      <c r="C12" s="12">
        <v>30255.0</v>
      </c>
      <c r="D12" s="12"/>
      <c r="E12" s="12"/>
      <c r="F12" s="12"/>
      <c r="G12" s="12"/>
      <c r="H12" s="26"/>
      <c r="I12" s="12"/>
      <c r="J12" s="12"/>
      <c r="K12" s="21"/>
      <c r="L12" s="13"/>
      <c r="M12" s="27"/>
      <c r="N12" s="28">
        <f t="shared" ref="N12:N13" si="4">SUM(B12:M12)</f>
        <v>34395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3" t="s">
        <v>20</v>
      </c>
      <c r="B13" s="29">
        <f t="shared" ref="B13:M13" si="3">B8-B12</f>
        <v>21058</v>
      </c>
      <c r="C13" s="29">
        <f t="shared" si="3"/>
        <v>108683</v>
      </c>
      <c r="D13" s="29">
        <f t="shared" si="3"/>
        <v>0</v>
      </c>
      <c r="E13" s="29">
        <f t="shared" si="3"/>
        <v>0</v>
      </c>
      <c r="F13" s="29">
        <f t="shared" si="3"/>
        <v>0</v>
      </c>
      <c r="G13" s="29">
        <f t="shared" si="3"/>
        <v>0</v>
      </c>
      <c r="H13" s="29">
        <f t="shared" si="3"/>
        <v>0</v>
      </c>
      <c r="I13" s="29">
        <f t="shared" si="3"/>
        <v>0</v>
      </c>
      <c r="J13" s="29">
        <f t="shared" si="3"/>
        <v>0</v>
      </c>
      <c r="K13" s="29">
        <f t="shared" si="3"/>
        <v>0</v>
      </c>
      <c r="L13" s="29">
        <f t="shared" si="3"/>
        <v>0</v>
      </c>
      <c r="M13" s="29">
        <f t="shared" si="3"/>
        <v>0</v>
      </c>
      <c r="N13" s="30">
        <f t="shared" si="4"/>
        <v>129741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2023.0</v>
      </c>
      <c r="C15" s="7">
        <v>2023.0</v>
      </c>
      <c r="D15" s="7">
        <v>2023.0</v>
      </c>
      <c r="E15" s="7">
        <v>2023.0</v>
      </c>
      <c r="F15" s="7">
        <v>2023.0</v>
      </c>
      <c r="G15" s="7">
        <v>2023.0</v>
      </c>
      <c r="H15" s="7">
        <v>2023.0</v>
      </c>
      <c r="I15" s="7">
        <v>2023.0</v>
      </c>
      <c r="J15" s="7">
        <v>2023.0</v>
      </c>
      <c r="K15" s="7">
        <v>2023.0</v>
      </c>
      <c r="L15" s="7">
        <v>2023.0</v>
      </c>
      <c r="M15" s="7">
        <v>2023.0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1" t="s">
        <v>22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3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4" t="s">
        <v>23</v>
      </c>
      <c r="B18" s="32"/>
      <c r="C18" s="32"/>
      <c r="D18" s="32"/>
      <c r="E18" s="32"/>
      <c r="F18" s="32"/>
      <c r="G18" s="32"/>
      <c r="H18" s="32"/>
      <c r="I18" s="32"/>
      <c r="J18" s="32"/>
      <c r="K18" s="21"/>
      <c r="L18" s="13"/>
      <c r="M18" s="13"/>
      <c r="N18" s="33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24</v>
      </c>
      <c r="B19" s="32">
        <v>20562.0</v>
      </c>
      <c r="C19" s="32">
        <v>74167.0</v>
      </c>
      <c r="D19" s="32"/>
      <c r="E19" s="32"/>
      <c r="F19" s="32"/>
      <c r="G19" s="32"/>
      <c r="H19" s="32"/>
      <c r="I19" s="32"/>
      <c r="J19" s="32"/>
      <c r="K19" s="21"/>
      <c r="L19" s="13"/>
      <c r="M19" s="13"/>
      <c r="N19" s="33">
        <f t="shared" si="5"/>
        <v>94729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4" t="s">
        <v>25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3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26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3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27</v>
      </c>
      <c r="B22" s="32">
        <v>909.0</v>
      </c>
      <c r="C22" s="32">
        <v>4901.0</v>
      </c>
      <c r="D22" s="32"/>
      <c r="E22" s="32"/>
      <c r="F22" s="37"/>
      <c r="G22" s="37"/>
      <c r="H22" s="37"/>
      <c r="I22" s="37"/>
      <c r="J22" s="37"/>
      <c r="K22" s="37"/>
      <c r="L22" s="37"/>
      <c r="M22" s="37"/>
      <c r="N22" s="33">
        <f t="shared" si="5"/>
        <v>5810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1" t="s">
        <v>28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8"/>
      <c r="N23" s="33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1" t="s">
        <v>29</v>
      </c>
      <c r="B24" s="32">
        <v>346.0</v>
      </c>
      <c r="C24" s="32">
        <v>346.0</v>
      </c>
      <c r="D24" s="32"/>
      <c r="E24" s="32"/>
      <c r="F24" s="32"/>
      <c r="G24" s="32"/>
      <c r="H24" s="32"/>
      <c r="I24" s="32"/>
      <c r="J24" s="32"/>
      <c r="K24" s="32"/>
      <c r="L24" s="32"/>
      <c r="M24" s="38"/>
      <c r="N24" s="33">
        <f t="shared" si="5"/>
        <v>692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1" t="s">
        <v>30</v>
      </c>
      <c r="B25" s="32">
        <v>320.0</v>
      </c>
      <c r="C25" s="32">
        <v>320.0</v>
      </c>
      <c r="D25" s="32"/>
      <c r="E25" s="32"/>
      <c r="F25" s="32"/>
      <c r="G25" s="32"/>
      <c r="H25" s="32"/>
      <c r="I25" s="32"/>
      <c r="J25" s="32"/>
      <c r="K25" s="21"/>
      <c r="L25" s="13"/>
      <c r="M25" s="13"/>
      <c r="N25" s="33">
        <f t="shared" si="5"/>
        <v>640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9" t="s">
        <v>31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3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32</v>
      </c>
      <c r="B27" s="32">
        <v>750.0</v>
      </c>
      <c r="C27" s="32">
        <v>750.0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3">
        <f t="shared" si="5"/>
        <v>1500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33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3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0" t="s">
        <v>34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3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3" t="s">
        <v>35</v>
      </c>
      <c r="B30" s="41">
        <f t="shared" ref="B30:M30" si="6">SUM(B17:B29)</f>
        <v>22887</v>
      </c>
      <c r="C30" s="41">
        <f t="shared" si="6"/>
        <v>80484</v>
      </c>
      <c r="D30" s="41">
        <f t="shared" si="6"/>
        <v>0</v>
      </c>
      <c r="E30" s="41">
        <f t="shared" si="6"/>
        <v>0</v>
      </c>
      <c r="F30" s="41">
        <f t="shared" si="6"/>
        <v>0</v>
      </c>
      <c r="G30" s="41">
        <f t="shared" si="6"/>
        <v>0</v>
      </c>
      <c r="H30" s="41">
        <f t="shared" si="6"/>
        <v>0</v>
      </c>
      <c r="I30" s="41">
        <f t="shared" si="6"/>
        <v>0</v>
      </c>
      <c r="J30" s="41">
        <f t="shared" si="6"/>
        <v>0</v>
      </c>
      <c r="K30" s="41">
        <f t="shared" si="6"/>
        <v>0</v>
      </c>
      <c r="L30" s="41">
        <f t="shared" si="6"/>
        <v>0</v>
      </c>
      <c r="M30" s="41">
        <f t="shared" si="6"/>
        <v>0</v>
      </c>
      <c r="N30" s="42">
        <f t="shared" si="5"/>
        <v>103371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3"/>
      <c r="F31" s="43"/>
      <c r="G31" s="43"/>
      <c r="H31" s="43"/>
      <c r="I31" s="43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36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4" t="s">
        <v>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3" t="s">
        <v>38</v>
      </c>
      <c r="B33" s="45">
        <f t="shared" ref="B33:M33" si="7">MINUS(B13,B30)</f>
        <v>-1829</v>
      </c>
      <c r="C33" s="45">
        <f t="shared" si="7"/>
        <v>28199</v>
      </c>
      <c r="D33" s="45">
        <f t="shared" si="7"/>
        <v>0</v>
      </c>
      <c r="E33" s="45">
        <f t="shared" si="7"/>
        <v>0</v>
      </c>
      <c r="F33" s="45">
        <f t="shared" si="7"/>
        <v>0</v>
      </c>
      <c r="G33" s="45">
        <f t="shared" si="7"/>
        <v>0</v>
      </c>
      <c r="H33" s="45">
        <f t="shared" si="7"/>
        <v>0</v>
      </c>
      <c r="I33" s="45">
        <f t="shared" si="7"/>
        <v>0</v>
      </c>
      <c r="J33" s="45">
        <f t="shared" si="7"/>
        <v>0</v>
      </c>
      <c r="K33" s="45">
        <f t="shared" si="7"/>
        <v>0</v>
      </c>
      <c r="L33" s="45">
        <f t="shared" si="7"/>
        <v>0</v>
      </c>
      <c r="M33" s="45">
        <f t="shared" si="7"/>
        <v>0</v>
      </c>
      <c r="N33" s="46">
        <f>SUM(B33:M33)</f>
        <v>26370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8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49">
        <f>SUM(N19)</f>
        <v>94729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49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41</v>
      </c>
      <c r="B39" s="50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49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49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4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3"/>
      <c r="B47" s="5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3"/>
      <c r="B48" s="5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3"/>
      <c r="B50" s="5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3"/>
      <c r="B51" s="5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2025.0</v>
      </c>
      <c r="C3" s="7">
        <v>2025.0</v>
      </c>
      <c r="D3" s="7">
        <v>2025.0</v>
      </c>
      <c r="E3" s="7">
        <v>2025.0</v>
      </c>
      <c r="F3" s="7">
        <v>2025.0</v>
      </c>
      <c r="G3" s="7">
        <v>2025.0</v>
      </c>
      <c r="H3" s="7">
        <v>2025.0</v>
      </c>
      <c r="I3" s="7">
        <v>2025.0</v>
      </c>
      <c r="J3" s="7">
        <v>2025.0</v>
      </c>
      <c r="K3" s="7">
        <v>2025.0</v>
      </c>
      <c r="L3" s="7">
        <v>2025.0</v>
      </c>
      <c r="M3" s="7">
        <v>2025.0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56">
        <v>13218.04</v>
      </c>
      <c r="C5" s="57">
        <v>8009.28</v>
      </c>
      <c r="D5" s="56">
        <v>5414.62</v>
      </c>
      <c r="E5" s="57">
        <v>91759.33</v>
      </c>
      <c r="F5" s="57">
        <v>76524.99</v>
      </c>
      <c r="G5" s="58">
        <v>66750.4</v>
      </c>
      <c r="H5" s="58">
        <v>63214.47</v>
      </c>
      <c r="I5" s="59">
        <v>79263.33</v>
      </c>
      <c r="J5" s="57">
        <v>155944.09</v>
      </c>
      <c r="K5" s="58">
        <v>171797.9</v>
      </c>
      <c r="L5" s="58">
        <v>383657.9</v>
      </c>
      <c r="M5" s="60">
        <v>269242.3</v>
      </c>
      <c r="N5" s="18">
        <f t="shared" ref="N5:N8" si="1">SUM(B5:M5)</f>
        <v>1384796.65</v>
      </c>
      <c r="O5" s="3"/>
      <c r="P5" s="7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56">
        <v>666.67</v>
      </c>
      <c r="C6" s="57">
        <v>16.0</v>
      </c>
      <c r="D6" s="56">
        <v>0.0</v>
      </c>
      <c r="E6" s="57">
        <v>29.52</v>
      </c>
      <c r="F6" s="56">
        <v>103.89</v>
      </c>
      <c r="G6" s="57">
        <v>413.28</v>
      </c>
      <c r="H6" s="58">
        <v>647.07</v>
      </c>
      <c r="I6" s="58">
        <v>247.8</v>
      </c>
      <c r="J6" s="59">
        <v>553.43</v>
      </c>
      <c r="K6" s="57">
        <v>456.03</v>
      </c>
      <c r="L6" s="58">
        <v>878.42</v>
      </c>
      <c r="M6" s="60"/>
      <c r="N6" s="18">
        <f t="shared" si="1"/>
        <v>4012.11</v>
      </c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2">
        <v>0.0</v>
      </c>
      <c r="C7" s="22">
        <v>768.99</v>
      </c>
      <c r="D7" s="22">
        <v>0.0</v>
      </c>
      <c r="E7" s="22">
        <v>429.58</v>
      </c>
      <c r="F7" s="22">
        <v>274.78</v>
      </c>
      <c r="G7" s="22">
        <v>73.9</v>
      </c>
      <c r="H7" s="22">
        <v>203.0</v>
      </c>
      <c r="I7" s="22">
        <v>0.0</v>
      </c>
      <c r="J7" s="22">
        <v>193.91</v>
      </c>
      <c r="K7" s="22">
        <v>175.4</v>
      </c>
      <c r="L7" s="22">
        <v>0.0</v>
      </c>
      <c r="M7" s="22"/>
      <c r="N7" s="18">
        <f t="shared" si="1"/>
        <v>2119.56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3" t="s">
        <v>17</v>
      </c>
      <c r="B8" s="24">
        <f t="shared" ref="B8:M8" si="2">B5-B6-B7</f>
        <v>12551.37</v>
      </c>
      <c r="C8" s="24">
        <f t="shared" si="2"/>
        <v>7224.29</v>
      </c>
      <c r="D8" s="24">
        <f t="shared" si="2"/>
        <v>5414.62</v>
      </c>
      <c r="E8" s="24">
        <f t="shared" si="2"/>
        <v>91300.23</v>
      </c>
      <c r="F8" s="24">
        <f t="shared" si="2"/>
        <v>76146.32</v>
      </c>
      <c r="G8" s="24">
        <f t="shared" si="2"/>
        <v>66263.22</v>
      </c>
      <c r="H8" s="24">
        <f t="shared" si="2"/>
        <v>62364.4</v>
      </c>
      <c r="I8" s="24">
        <f t="shared" si="2"/>
        <v>79015.53</v>
      </c>
      <c r="J8" s="24">
        <f t="shared" si="2"/>
        <v>155196.75</v>
      </c>
      <c r="K8" s="24">
        <f t="shared" si="2"/>
        <v>171166.47</v>
      </c>
      <c r="L8" s="24">
        <f t="shared" si="2"/>
        <v>382779.48</v>
      </c>
      <c r="M8" s="24">
        <f t="shared" si="2"/>
        <v>269242.3</v>
      </c>
      <c r="N8" s="25">
        <f t="shared" si="1"/>
        <v>1378664.98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2025.0</v>
      </c>
      <c r="C10" s="7">
        <v>2025.0</v>
      </c>
      <c r="D10" s="7">
        <v>2025.0</v>
      </c>
      <c r="E10" s="7">
        <v>2025.0</v>
      </c>
      <c r="F10" s="7">
        <v>2025.0</v>
      </c>
      <c r="G10" s="7">
        <v>2025.0</v>
      </c>
      <c r="H10" s="7">
        <v>2025.0</v>
      </c>
      <c r="I10" s="7">
        <v>2025.0</v>
      </c>
      <c r="J10" s="7">
        <v>2025.0</v>
      </c>
      <c r="K10" s="7">
        <v>2025.0</v>
      </c>
      <c r="L10" s="7">
        <v>2025.0</v>
      </c>
      <c r="M10" s="7">
        <v>2025.0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19</v>
      </c>
      <c r="B12" s="57">
        <v>3881.0</v>
      </c>
      <c r="C12" s="57">
        <v>3188.0</v>
      </c>
      <c r="D12" s="57">
        <v>1709.0</v>
      </c>
      <c r="E12" s="57">
        <v>23793.0</v>
      </c>
      <c r="F12" s="57">
        <v>25399.0</v>
      </c>
      <c r="G12" s="57">
        <v>22045.0</v>
      </c>
      <c r="H12" s="56">
        <v>16425.0</v>
      </c>
      <c r="I12" s="57">
        <v>20809.0</v>
      </c>
      <c r="J12" s="57">
        <v>39823.0</v>
      </c>
      <c r="K12" s="58">
        <f>30439+24847.99</f>
        <v>55286.99</v>
      </c>
      <c r="L12" s="56">
        <v>75712.0</v>
      </c>
      <c r="M12" s="27">
        <v>55915.0</v>
      </c>
      <c r="N12" s="28">
        <f t="shared" ref="N12:N13" si="4">SUM(B12:M12)</f>
        <v>343985.99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3" t="s">
        <v>20</v>
      </c>
      <c r="B13" s="29">
        <f t="shared" ref="B13:M13" si="3">B8-B12</f>
        <v>8670.37</v>
      </c>
      <c r="C13" s="29">
        <f t="shared" si="3"/>
        <v>4036.29</v>
      </c>
      <c r="D13" s="29">
        <f t="shared" si="3"/>
        <v>3705.62</v>
      </c>
      <c r="E13" s="29">
        <f t="shared" si="3"/>
        <v>67507.23</v>
      </c>
      <c r="F13" s="29">
        <f t="shared" si="3"/>
        <v>50747.32</v>
      </c>
      <c r="G13" s="29">
        <f t="shared" si="3"/>
        <v>44218.22</v>
      </c>
      <c r="H13" s="29">
        <f t="shared" si="3"/>
        <v>45939.4</v>
      </c>
      <c r="I13" s="29">
        <f t="shared" si="3"/>
        <v>58206.53</v>
      </c>
      <c r="J13" s="29">
        <f t="shared" si="3"/>
        <v>115373.75</v>
      </c>
      <c r="K13" s="29">
        <f t="shared" si="3"/>
        <v>115879.48</v>
      </c>
      <c r="L13" s="29">
        <f t="shared" si="3"/>
        <v>307067.48</v>
      </c>
      <c r="M13" s="29">
        <f t="shared" si="3"/>
        <v>213327.3</v>
      </c>
      <c r="N13" s="30">
        <f t="shared" si="4"/>
        <v>1034678.99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2025.0</v>
      </c>
      <c r="C15" s="7">
        <v>2025.0</v>
      </c>
      <c r="D15" s="7">
        <v>2025.0</v>
      </c>
      <c r="E15" s="7">
        <v>2025.0</v>
      </c>
      <c r="F15" s="7">
        <v>2025.0</v>
      </c>
      <c r="G15" s="7">
        <v>2025.0</v>
      </c>
      <c r="H15" s="7">
        <v>2025.0</v>
      </c>
      <c r="I15" s="7">
        <v>2025.0</v>
      </c>
      <c r="J15" s="7">
        <v>2025.0</v>
      </c>
      <c r="K15" s="7">
        <v>2025.0</v>
      </c>
      <c r="L15" s="7">
        <v>2025.0</v>
      </c>
      <c r="M15" s="7">
        <v>2025.0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5" t="s">
        <v>24</v>
      </c>
      <c r="B17" s="32">
        <v>2119.51</v>
      </c>
      <c r="C17" s="32">
        <v>0.0</v>
      </c>
      <c r="D17" s="32">
        <v>0.0</v>
      </c>
      <c r="E17" s="32">
        <v>46462.29</v>
      </c>
      <c r="F17" s="32">
        <v>47891.16</v>
      </c>
      <c r="G17" s="32">
        <v>37400.47</v>
      </c>
      <c r="H17" s="32">
        <v>32297.11</v>
      </c>
      <c r="I17" s="32">
        <v>37178.01</v>
      </c>
      <c r="J17" s="32">
        <v>87581.74</v>
      </c>
      <c r="K17" s="21">
        <v>111512.02</v>
      </c>
      <c r="L17" s="13">
        <v>228049.23</v>
      </c>
      <c r="M17" s="13">
        <v>193310.0</v>
      </c>
      <c r="N17" s="33">
        <f t="shared" ref="N17:N30" si="5">SUM(B17:M17)</f>
        <v>823801.54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6" t="s">
        <v>43</v>
      </c>
      <c r="B18" s="61"/>
      <c r="C18" s="61"/>
      <c r="D18" s="61"/>
      <c r="E18" s="61"/>
      <c r="F18" s="62"/>
      <c r="G18" s="62"/>
      <c r="H18" s="62"/>
      <c r="I18" s="62"/>
      <c r="J18" s="51">
        <v>879.0</v>
      </c>
      <c r="K18" s="62"/>
      <c r="L18" s="62"/>
      <c r="M18" s="62"/>
      <c r="N18" s="63">
        <f t="shared" si="5"/>
        <v>879</v>
      </c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5.75" customHeight="1">
      <c r="A19" s="65" t="s">
        <v>44</v>
      </c>
      <c r="B19" s="61"/>
      <c r="C19" s="61"/>
      <c r="D19" s="61"/>
      <c r="E19" s="61"/>
      <c r="F19" s="61"/>
      <c r="G19" s="61"/>
      <c r="H19" s="51">
        <v>600.0</v>
      </c>
      <c r="I19" s="51">
        <v>650.0</v>
      </c>
      <c r="J19" s="51">
        <v>770.58</v>
      </c>
      <c r="K19" s="51">
        <v>750.0</v>
      </c>
      <c r="L19" s="66">
        <v>0.0</v>
      </c>
      <c r="M19" s="66">
        <v>0.0</v>
      </c>
      <c r="N19" s="63">
        <f t="shared" si="5"/>
        <v>2770.58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5.75" customHeight="1">
      <c r="A20" s="6" t="s">
        <v>45</v>
      </c>
      <c r="B20" s="61"/>
      <c r="C20" s="61"/>
      <c r="D20" s="61"/>
      <c r="E20" s="61"/>
      <c r="F20" s="51">
        <v>305.15</v>
      </c>
      <c r="G20" s="51">
        <v>305.15</v>
      </c>
      <c r="H20" s="51">
        <v>0.0</v>
      </c>
      <c r="I20" s="51">
        <v>0.0</v>
      </c>
      <c r="J20" s="51">
        <v>0.0</v>
      </c>
      <c r="K20" s="51">
        <v>0.0</v>
      </c>
      <c r="L20" s="51">
        <v>0.0</v>
      </c>
      <c r="M20" s="51">
        <v>0.0</v>
      </c>
      <c r="N20" s="63">
        <f t="shared" si="5"/>
        <v>610.3</v>
      </c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5.75" customHeight="1">
      <c r="A21" s="65" t="s">
        <v>46</v>
      </c>
      <c r="B21" s="66">
        <v>1548.54</v>
      </c>
      <c r="C21" s="66">
        <v>0.0</v>
      </c>
      <c r="D21" s="66">
        <v>283.98</v>
      </c>
      <c r="E21" s="66">
        <v>300.73</v>
      </c>
      <c r="F21" s="66">
        <v>576.83</v>
      </c>
      <c r="G21" s="66">
        <v>287.41</v>
      </c>
      <c r="H21" s="66">
        <v>287.41</v>
      </c>
      <c r="I21" s="66">
        <v>341.85</v>
      </c>
      <c r="J21" s="66">
        <v>375.83</v>
      </c>
      <c r="K21" s="67">
        <v>574.44</v>
      </c>
      <c r="L21" s="67">
        <v>746.47</v>
      </c>
      <c r="M21" s="67">
        <v>746.47</v>
      </c>
      <c r="N21" s="63">
        <f t="shared" si="5"/>
        <v>6069.96</v>
      </c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5.75" customHeight="1">
      <c r="A22" s="19" t="s">
        <v>27</v>
      </c>
      <c r="B22" s="67">
        <f t="shared" ref="B22:L22" si="6">B5*0.032</f>
        <v>422.97728</v>
      </c>
      <c r="C22" s="67">
        <f t="shared" si="6"/>
        <v>256.29696</v>
      </c>
      <c r="D22" s="67">
        <f t="shared" si="6"/>
        <v>173.26784</v>
      </c>
      <c r="E22" s="67">
        <f t="shared" si="6"/>
        <v>2936.29856</v>
      </c>
      <c r="F22" s="67">
        <f t="shared" si="6"/>
        <v>2448.79968</v>
      </c>
      <c r="G22" s="67">
        <f t="shared" si="6"/>
        <v>2136.0128</v>
      </c>
      <c r="H22" s="67">
        <f t="shared" si="6"/>
        <v>2022.86304</v>
      </c>
      <c r="I22" s="67">
        <f t="shared" si="6"/>
        <v>2536.42656</v>
      </c>
      <c r="J22" s="67">
        <f t="shared" si="6"/>
        <v>4990.21088</v>
      </c>
      <c r="K22" s="67">
        <f t="shared" si="6"/>
        <v>5497.5328</v>
      </c>
      <c r="L22" s="67">
        <f t="shared" si="6"/>
        <v>12277.0528</v>
      </c>
      <c r="M22" s="68">
        <v>8734.0</v>
      </c>
      <c r="N22" s="63">
        <f t="shared" si="5"/>
        <v>44431.7392</v>
      </c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5.75" customHeight="1">
      <c r="A23" s="65" t="s">
        <v>47</v>
      </c>
      <c r="B23" s="61"/>
      <c r="C23" s="61"/>
      <c r="D23" s="51">
        <v>100.0</v>
      </c>
      <c r="E23" s="51">
        <v>116.6</v>
      </c>
      <c r="F23" s="51">
        <v>159.0</v>
      </c>
      <c r="G23" s="51">
        <v>159.0</v>
      </c>
      <c r="H23" s="51">
        <v>159.0</v>
      </c>
      <c r="I23" s="51">
        <v>212.0</v>
      </c>
      <c r="J23" s="51">
        <v>265.0</v>
      </c>
      <c r="K23" s="69">
        <v>371.0</v>
      </c>
      <c r="L23" s="70">
        <v>400.0</v>
      </c>
      <c r="M23" s="71"/>
      <c r="N23" s="63">
        <f t="shared" si="5"/>
        <v>1941.6</v>
      </c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5.75" customHeight="1">
      <c r="A24" s="65" t="s">
        <v>48</v>
      </c>
      <c r="B24" s="61"/>
      <c r="C24" s="61"/>
      <c r="D24" s="61"/>
      <c r="E24" s="61"/>
      <c r="F24" s="61"/>
      <c r="G24" s="61"/>
      <c r="H24" s="61"/>
      <c r="I24" s="61"/>
      <c r="J24" s="61"/>
      <c r="K24" s="51">
        <v>300.0</v>
      </c>
      <c r="L24" s="51">
        <v>200.0</v>
      </c>
      <c r="M24" s="61"/>
      <c r="N24" s="72">
        <f t="shared" si="5"/>
        <v>500</v>
      </c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5.75" customHeight="1">
      <c r="A25" s="65" t="s">
        <v>49</v>
      </c>
      <c r="B25" s="61"/>
      <c r="C25" s="61"/>
      <c r="D25" s="51">
        <v>5000.0</v>
      </c>
      <c r="E25" s="61"/>
      <c r="F25" s="51">
        <v>2000.0</v>
      </c>
      <c r="G25" s="51">
        <v>2000.0</v>
      </c>
      <c r="H25" s="51">
        <v>2000.0</v>
      </c>
      <c r="I25" s="51">
        <v>2000.0</v>
      </c>
      <c r="J25" s="51">
        <v>2000.0</v>
      </c>
      <c r="K25" s="51">
        <v>2000.0</v>
      </c>
      <c r="L25" s="51">
        <v>2000.0</v>
      </c>
      <c r="M25" s="61"/>
      <c r="N25" s="63">
        <f t="shared" si="5"/>
        <v>19000</v>
      </c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5.75" customHeight="1">
      <c r="A26" s="6" t="s">
        <v>50</v>
      </c>
      <c r="B26" s="51">
        <v>750.0</v>
      </c>
      <c r="C26" s="51">
        <v>750.0</v>
      </c>
      <c r="D26" s="51">
        <v>750.0</v>
      </c>
      <c r="E26" s="51">
        <v>750.0</v>
      </c>
      <c r="F26" s="51">
        <v>750.0</v>
      </c>
      <c r="G26" s="51">
        <v>750.0</v>
      </c>
      <c r="H26" s="51">
        <v>750.0</v>
      </c>
      <c r="I26" s="51">
        <v>750.0</v>
      </c>
      <c r="J26" s="51">
        <v>750.0</v>
      </c>
      <c r="K26" s="51">
        <v>750.0</v>
      </c>
      <c r="L26" s="51">
        <v>750.0</v>
      </c>
      <c r="M26" s="51">
        <v>750.0</v>
      </c>
      <c r="N26" s="63">
        <f t="shared" si="5"/>
        <v>9000</v>
      </c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5.75" customHeight="1">
      <c r="A27" s="65" t="s">
        <v>51</v>
      </c>
      <c r="B27" s="61"/>
      <c r="C27" s="61"/>
      <c r="D27" s="61"/>
      <c r="E27" s="61"/>
      <c r="F27" s="61"/>
      <c r="G27" s="61"/>
      <c r="H27" s="61"/>
      <c r="I27" s="61"/>
      <c r="J27" s="61"/>
      <c r="K27" s="51">
        <v>1500.0</v>
      </c>
      <c r="L27" s="61"/>
      <c r="M27" s="61"/>
      <c r="N27" s="72">
        <f t="shared" si="5"/>
        <v>1500</v>
      </c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5.75" customHeight="1">
      <c r="A28" s="65" t="s">
        <v>52</v>
      </c>
      <c r="B28" s="51">
        <v>125.28</v>
      </c>
      <c r="C28" s="51">
        <v>208.47</v>
      </c>
      <c r="D28" s="51">
        <v>208.47</v>
      </c>
      <c r="E28" s="51">
        <v>437.25</v>
      </c>
      <c r="F28" s="51">
        <v>0.0</v>
      </c>
      <c r="G28" s="51">
        <v>0.0</v>
      </c>
      <c r="H28" s="51">
        <v>210.0</v>
      </c>
      <c r="I28" s="51">
        <v>610.0</v>
      </c>
      <c r="J28" s="51">
        <v>500.0</v>
      </c>
      <c r="K28" s="51">
        <v>868.81</v>
      </c>
      <c r="L28" s="51">
        <v>1009.19</v>
      </c>
      <c r="M28" s="61"/>
      <c r="N28" s="72">
        <f t="shared" si="5"/>
        <v>4177.47</v>
      </c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5.75" customHeight="1">
      <c r="A29" s="65" t="s">
        <v>53</v>
      </c>
      <c r="B29" s="61"/>
      <c r="C29" s="61"/>
      <c r="D29" s="61"/>
      <c r="E29" s="61"/>
      <c r="F29" s="51">
        <v>100.0</v>
      </c>
      <c r="G29" s="51">
        <v>200.0</v>
      </c>
      <c r="H29" s="51">
        <v>100.0</v>
      </c>
      <c r="I29" s="51">
        <v>0.0</v>
      </c>
      <c r="J29" s="51">
        <v>100.0</v>
      </c>
      <c r="K29" s="51">
        <v>100.0</v>
      </c>
      <c r="L29" s="51">
        <v>100.0</v>
      </c>
      <c r="M29" s="61"/>
      <c r="N29" s="63">
        <f t="shared" si="5"/>
        <v>700</v>
      </c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5.75" customHeight="1">
      <c r="A30" s="23" t="s">
        <v>35</v>
      </c>
      <c r="B30" s="41">
        <f t="shared" ref="B30:L30" si="7">SUM(B17:B29)</f>
        <v>4966.30728</v>
      </c>
      <c r="C30" s="41">
        <f t="shared" si="7"/>
        <v>1214.76696</v>
      </c>
      <c r="D30" s="41">
        <f t="shared" si="7"/>
        <v>6515.71784</v>
      </c>
      <c r="E30" s="41">
        <f t="shared" si="7"/>
        <v>51003.16856</v>
      </c>
      <c r="F30" s="41">
        <f t="shared" si="7"/>
        <v>54230.93968</v>
      </c>
      <c r="G30" s="41">
        <f t="shared" si="7"/>
        <v>43238.0428</v>
      </c>
      <c r="H30" s="41">
        <f t="shared" si="7"/>
        <v>38426.38304</v>
      </c>
      <c r="I30" s="41">
        <f t="shared" si="7"/>
        <v>44278.28656</v>
      </c>
      <c r="J30" s="41">
        <f t="shared" si="7"/>
        <v>98212.36088</v>
      </c>
      <c r="K30" s="41">
        <f t="shared" si="7"/>
        <v>124223.8028</v>
      </c>
      <c r="L30" s="41">
        <f t="shared" si="7"/>
        <v>245531.9428</v>
      </c>
      <c r="M30" s="41">
        <f>SUM(M17:M28)</f>
        <v>203540.47</v>
      </c>
      <c r="N30" s="42">
        <f t="shared" si="5"/>
        <v>915382.1892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3"/>
      <c r="F31" s="43"/>
      <c r="G31" s="43"/>
      <c r="H31" s="43"/>
      <c r="I31" s="43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36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4" t="s">
        <v>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3" t="s">
        <v>38</v>
      </c>
      <c r="B33" s="45">
        <f t="shared" ref="B33:M33" si="8">MINUS(B13,B30)</f>
        <v>3704.06272</v>
      </c>
      <c r="C33" s="45">
        <f t="shared" si="8"/>
        <v>2821.52304</v>
      </c>
      <c r="D33" s="45">
        <f t="shared" si="8"/>
        <v>-2810.09784</v>
      </c>
      <c r="E33" s="45">
        <f t="shared" si="8"/>
        <v>16504.06144</v>
      </c>
      <c r="F33" s="45">
        <f t="shared" si="8"/>
        <v>-3483.61968</v>
      </c>
      <c r="G33" s="45">
        <f t="shared" si="8"/>
        <v>980.1772</v>
      </c>
      <c r="H33" s="45">
        <f t="shared" si="8"/>
        <v>7513.01696</v>
      </c>
      <c r="I33" s="45">
        <f t="shared" si="8"/>
        <v>13928.24344</v>
      </c>
      <c r="J33" s="45">
        <f t="shared" si="8"/>
        <v>17161.38912</v>
      </c>
      <c r="K33" s="45">
        <f t="shared" si="8"/>
        <v>-8344.3228</v>
      </c>
      <c r="L33" s="45">
        <f t="shared" si="8"/>
        <v>61535.5372</v>
      </c>
      <c r="M33" s="45">
        <f t="shared" si="8"/>
        <v>9786.83</v>
      </c>
      <c r="N33" s="46">
        <f>SUM(B33:M33)</f>
        <v>119296.8008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8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49">
        <f>SUM(N17)</f>
        <v>823801.54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49" t="str">
        <f>SUM(#REF!)</f>
        <v>#REF!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41</v>
      </c>
      <c r="B39" s="50" t="str">
        <f t="shared" ref="B39:B41" si="9">sum(#REF!)</f>
        <v>#REF!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 t="s">
        <v>43</v>
      </c>
      <c r="B40" s="50" t="str">
        <f t="shared" si="9"/>
        <v>#REF!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44</v>
      </c>
      <c r="B41" s="50" t="str">
        <f t="shared" si="9"/>
        <v>#REF!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4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3"/>
      <c r="B47" s="5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3"/>
      <c r="B48" s="5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3"/>
      <c r="B50" s="5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3"/>
      <c r="B51" s="5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2024.0</v>
      </c>
      <c r="C3" s="7">
        <v>2024.0</v>
      </c>
      <c r="D3" s="7">
        <v>2024.0</v>
      </c>
      <c r="E3" s="7">
        <v>2024.0</v>
      </c>
      <c r="F3" s="7">
        <v>2024.0</v>
      </c>
      <c r="G3" s="7">
        <v>2024.0</v>
      </c>
      <c r="H3" s="7">
        <v>2024.0</v>
      </c>
      <c r="I3" s="7">
        <v>2024.0</v>
      </c>
      <c r="J3" s="7">
        <v>2024.0</v>
      </c>
      <c r="K3" s="7">
        <v>2024.0</v>
      </c>
      <c r="L3" s="7">
        <v>2024.0</v>
      </c>
      <c r="M3" s="7">
        <v>2024.0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2"/>
      <c r="D5" s="13"/>
      <c r="E5" s="12"/>
      <c r="F5" s="12"/>
      <c r="G5" s="14"/>
      <c r="H5" s="15"/>
      <c r="I5" s="16"/>
      <c r="J5" s="17"/>
      <c r="K5" s="15">
        <v>10059.49</v>
      </c>
      <c r="L5" s="14">
        <v>44990.2</v>
      </c>
      <c r="M5" s="14">
        <v>424477.24</v>
      </c>
      <c r="N5" s="18">
        <f t="shared" ref="N5:N8" si="1">SUM(B5:M5)</f>
        <v>479526.93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/>
      <c r="C6" s="12"/>
      <c r="D6" s="13"/>
      <c r="E6" s="12"/>
      <c r="F6" s="13"/>
      <c r="G6" s="12"/>
      <c r="H6" s="14"/>
      <c r="I6" s="14"/>
      <c r="J6" s="20"/>
      <c r="K6" s="21">
        <v>0.0</v>
      </c>
      <c r="L6" s="14">
        <v>348.27</v>
      </c>
      <c r="M6" s="14">
        <v>233.8</v>
      </c>
      <c r="N6" s="18">
        <f t="shared" si="1"/>
        <v>582.07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2"/>
      <c r="C7" s="22"/>
      <c r="D7" s="22"/>
      <c r="E7" s="22"/>
      <c r="F7" s="22"/>
      <c r="G7" s="22"/>
      <c r="H7" s="22"/>
      <c r="I7" s="22"/>
      <c r="J7" s="22"/>
      <c r="K7" s="22">
        <v>0.0</v>
      </c>
      <c r="L7" s="22">
        <v>0.0</v>
      </c>
      <c r="M7" s="22">
        <v>0.0</v>
      </c>
      <c r="N7" s="18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3" t="s">
        <v>17</v>
      </c>
      <c r="B8" s="24">
        <f t="shared" ref="B8:M8" si="2">B5-B6-B7</f>
        <v>0</v>
      </c>
      <c r="C8" s="24">
        <f t="shared" si="2"/>
        <v>0</v>
      </c>
      <c r="D8" s="24">
        <f t="shared" si="2"/>
        <v>0</v>
      </c>
      <c r="E8" s="24">
        <f t="shared" si="2"/>
        <v>0</v>
      </c>
      <c r="F8" s="24">
        <f t="shared" si="2"/>
        <v>0</v>
      </c>
      <c r="G8" s="24">
        <f t="shared" si="2"/>
        <v>0</v>
      </c>
      <c r="H8" s="24">
        <f t="shared" si="2"/>
        <v>0</v>
      </c>
      <c r="I8" s="24">
        <f t="shared" si="2"/>
        <v>0</v>
      </c>
      <c r="J8" s="24">
        <f t="shared" si="2"/>
        <v>0</v>
      </c>
      <c r="K8" s="24">
        <f t="shared" si="2"/>
        <v>10059.49</v>
      </c>
      <c r="L8" s="24">
        <f t="shared" si="2"/>
        <v>44641.93</v>
      </c>
      <c r="M8" s="24">
        <f t="shared" si="2"/>
        <v>424243.44</v>
      </c>
      <c r="N8" s="25">
        <f t="shared" si="1"/>
        <v>478944.86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2024.0</v>
      </c>
      <c r="C10" s="7">
        <v>2024.0</v>
      </c>
      <c r="D10" s="7">
        <v>2024.0</v>
      </c>
      <c r="E10" s="7">
        <v>2024.0</v>
      </c>
      <c r="F10" s="7">
        <v>2024.0</v>
      </c>
      <c r="G10" s="7">
        <v>2024.0</v>
      </c>
      <c r="H10" s="7">
        <v>2024.0</v>
      </c>
      <c r="I10" s="7">
        <v>2024.0</v>
      </c>
      <c r="J10" s="7">
        <v>2024.0</v>
      </c>
      <c r="K10" s="7">
        <v>2024.0</v>
      </c>
      <c r="L10" s="7">
        <v>2024.0</v>
      </c>
      <c r="M10" s="7">
        <v>2024.0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19</v>
      </c>
      <c r="B12" s="12"/>
      <c r="C12" s="12"/>
      <c r="D12" s="12"/>
      <c r="E12" s="12"/>
      <c r="F12" s="12"/>
      <c r="G12" s="12"/>
      <c r="H12" s="26"/>
      <c r="I12" s="12"/>
      <c r="J12" s="12"/>
      <c r="K12" s="57">
        <v>552.3</v>
      </c>
      <c r="L12" s="56">
        <v>13489.0</v>
      </c>
      <c r="M12" s="56">
        <v>124002.0</v>
      </c>
      <c r="N12" s="28">
        <f t="shared" ref="N12:N13" si="4">SUM(B12:M12)</f>
        <v>138043.3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3" t="s">
        <v>20</v>
      </c>
      <c r="B13" s="29">
        <f t="shared" ref="B13:M13" si="3">B8-B12</f>
        <v>0</v>
      </c>
      <c r="C13" s="29">
        <f t="shared" si="3"/>
        <v>0</v>
      </c>
      <c r="D13" s="29">
        <f t="shared" si="3"/>
        <v>0</v>
      </c>
      <c r="E13" s="29">
        <f t="shared" si="3"/>
        <v>0</v>
      </c>
      <c r="F13" s="29">
        <f t="shared" si="3"/>
        <v>0</v>
      </c>
      <c r="G13" s="29">
        <f t="shared" si="3"/>
        <v>0</v>
      </c>
      <c r="H13" s="29">
        <f t="shared" si="3"/>
        <v>0</v>
      </c>
      <c r="I13" s="29">
        <f t="shared" si="3"/>
        <v>0</v>
      </c>
      <c r="J13" s="29">
        <f t="shared" si="3"/>
        <v>0</v>
      </c>
      <c r="K13" s="29">
        <f t="shared" si="3"/>
        <v>9507.19</v>
      </c>
      <c r="L13" s="29">
        <f t="shared" si="3"/>
        <v>31152.93</v>
      </c>
      <c r="M13" s="29">
        <f t="shared" si="3"/>
        <v>300241.44</v>
      </c>
      <c r="N13" s="30">
        <f t="shared" si="4"/>
        <v>340901.56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2024.0</v>
      </c>
      <c r="C15" s="7">
        <v>2024.0</v>
      </c>
      <c r="D15" s="7">
        <v>2024.0</v>
      </c>
      <c r="E15" s="7">
        <v>2024.0</v>
      </c>
      <c r="F15" s="7">
        <v>2024.0</v>
      </c>
      <c r="G15" s="7">
        <v>2024.0</v>
      </c>
      <c r="H15" s="7">
        <v>2024.0</v>
      </c>
      <c r="I15" s="7">
        <v>2024.0</v>
      </c>
      <c r="J15" s="7">
        <v>2024.0</v>
      </c>
      <c r="K15" s="7">
        <v>2024.0</v>
      </c>
      <c r="L15" s="7">
        <v>2024.0</v>
      </c>
      <c r="M15" s="7">
        <v>2024.0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5" t="s">
        <v>24</v>
      </c>
      <c r="B17" s="32"/>
      <c r="C17" s="32"/>
      <c r="D17" s="32"/>
      <c r="E17" s="32"/>
      <c r="F17" s="32"/>
      <c r="G17" s="32"/>
      <c r="H17" s="32"/>
      <c r="I17" s="32"/>
      <c r="J17" s="32"/>
      <c r="K17" s="21">
        <v>10261.2</v>
      </c>
      <c r="L17" s="13">
        <v>21804.49</v>
      </c>
      <c r="M17" s="13">
        <v>221843.44</v>
      </c>
      <c r="N17" s="33">
        <f t="shared" ref="N17:N27" si="5">SUM(B17:M17)</f>
        <v>253909.13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6" t="s">
        <v>54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51">
        <v>3500.0</v>
      </c>
      <c r="N18" s="63">
        <f t="shared" si="5"/>
        <v>3500</v>
      </c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5.75" customHeight="1">
      <c r="A19" s="65" t="s">
        <v>27</v>
      </c>
      <c r="B19" s="61"/>
      <c r="C19" s="61"/>
      <c r="D19" s="61"/>
      <c r="E19" s="61"/>
      <c r="F19" s="62"/>
      <c r="G19" s="62"/>
      <c r="H19" s="62"/>
      <c r="I19" s="62"/>
      <c r="J19" s="62"/>
      <c r="K19" s="73">
        <f t="shared" ref="K19:M19" si="6">K5*0.032</f>
        <v>321.90368</v>
      </c>
      <c r="L19" s="73">
        <f t="shared" si="6"/>
        <v>1439.6864</v>
      </c>
      <c r="M19" s="73">
        <f t="shared" si="6"/>
        <v>13583.27168</v>
      </c>
      <c r="N19" s="63">
        <f t="shared" si="5"/>
        <v>15344.86176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5.75" customHeight="1">
      <c r="A20" s="6" t="s">
        <v>55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74">
        <v>225.0</v>
      </c>
      <c r="N20" s="63">
        <f t="shared" si="5"/>
        <v>225</v>
      </c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5.75" customHeight="1">
      <c r="A21" s="19" t="s">
        <v>46</v>
      </c>
      <c r="B21" s="61"/>
      <c r="C21" s="61"/>
      <c r="D21" s="61"/>
      <c r="E21" s="61"/>
      <c r="F21" s="61"/>
      <c r="G21" s="61"/>
      <c r="H21" s="61"/>
      <c r="I21" s="75"/>
      <c r="J21" s="75"/>
      <c r="K21" s="76">
        <v>1.06</v>
      </c>
      <c r="L21" s="76">
        <v>517.28</v>
      </c>
      <c r="M21" s="77">
        <v>398.55</v>
      </c>
      <c r="N21" s="63">
        <f t="shared" si="5"/>
        <v>916.89</v>
      </c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5.75" customHeight="1">
      <c r="A22" s="65" t="s">
        <v>56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78"/>
      <c r="N22" s="63">
        <f t="shared" si="5"/>
        <v>0</v>
      </c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5.75" customHeight="1">
      <c r="A23" s="65" t="s">
        <v>30</v>
      </c>
      <c r="B23" s="61"/>
      <c r="C23" s="61"/>
      <c r="D23" s="61"/>
      <c r="E23" s="61"/>
      <c r="F23" s="61"/>
      <c r="G23" s="61"/>
      <c r="H23" s="61"/>
      <c r="I23" s="61"/>
      <c r="J23" s="61"/>
      <c r="K23" s="79"/>
      <c r="L23" s="71"/>
      <c r="M23" s="71"/>
      <c r="N23" s="63">
        <f t="shared" si="5"/>
        <v>0</v>
      </c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5.75" customHeight="1">
      <c r="A24" s="65" t="s">
        <v>57</v>
      </c>
      <c r="B24" s="61"/>
      <c r="C24" s="61"/>
      <c r="D24" s="61"/>
      <c r="E24" s="61"/>
      <c r="F24" s="61"/>
      <c r="G24" s="61"/>
      <c r="H24" s="61"/>
      <c r="I24" s="61"/>
      <c r="J24" s="61"/>
      <c r="K24" s="80"/>
      <c r="L24" s="61"/>
      <c r="M24" s="61"/>
      <c r="N24" s="63">
        <f t="shared" si="5"/>
        <v>0</v>
      </c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5.75" customHeight="1">
      <c r="A25" s="65" t="s">
        <v>58</v>
      </c>
      <c r="B25" s="61"/>
      <c r="C25" s="61"/>
      <c r="D25" s="61"/>
      <c r="E25" s="61"/>
      <c r="F25" s="61"/>
      <c r="G25" s="61"/>
      <c r="H25" s="61"/>
      <c r="I25" s="61"/>
      <c r="J25" s="61"/>
      <c r="K25" s="51">
        <v>750.0</v>
      </c>
      <c r="L25" s="51">
        <v>750.0</v>
      </c>
      <c r="M25" s="51">
        <v>750.0</v>
      </c>
      <c r="N25" s="63">
        <f t="shared" si="5"/>
        <v>2250</v>
      </c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5.75" customHeight="1">
      <c r="A26" s="6" t="s">
        <v>33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3">
        <f t="shared" si="5"/>
        <v>0</v>
      </c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5.75" customHeight="1">
      <c r="A27" s="23" t="s">
        <v>35</v>
      </c>
      <c r="B27" s="41">
        <f t="shared" ref="B27:M27" si="7">SUM(B17:B26)</f>
        <v>0</v>
      </c>
      <c r="C27" s="41">
        <f t="shared" si="7"/>
        <v>0</v>
      </c>
      <c r="D27" s="41">
        <f t="shared" si="7"/>
        <v>0</v>
      </c>
      <c r="E27" s="41">
        <f t="shared" si="7"/>
        <v>0</v>
      </c>
      <c r="F27" s="41">
        <f t="shared" si="7"/>
        <v>0</v>
      </c>
      <c r="G27" s="41">
        <f t="shared" si="7"/>
        <v>0</v>
      </c>
      <c r="H27" s="41">
        <f t="shared" si="7"/>
        <v>0</v>
      </c>
      <c r="I27" s="41">
        <f t="shared" si="7"/>
        <v>0</v>
      </c>
      <c r="J27" s="41">
        <f t="shared" si="7"/>
        <v>0</v>
      </c>
      <c r="K27" s="41">
        <f t="shared" si="7"/>
        <v>11334.16368</v>
      </c>
      <c r="L27" s="41">
        <f t="shared" si="7"/>
        <v>24511.4564</v>
      </c>
      <c r="M27" s="41">
        <f t="shared" si="7"/>
        <v>240300.2617</v>
      </c>
      <c r="N27" s="42">
        <f t="shared" si="5"/>
        <v>276145.8818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6"/>
      <c r="B28" s="6"/>
      <c r="C28" s="6"/>
      <c r="D28" s="6"/>
      <c r="E28" s="43"/>
      <c r="F28" s="43"/>
      <c r="G28" s="43"/>
      <c r="H28" s="43"/>
      <c r="I28" s="43"/>
      <c r="J28" s="6"/>
      <c r="K28" s="6"/>
      <c r="L28" s="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8" t="s">
        <v>36</v>
      </c>
      <c r="B29" s="9" t="s">
        <v>1</v>
      </c>
      <c r="C29" s="9" t="s">
        <v>2</v>
      </c>
      <c r="D29" s="9" t="s">
        <v>3</v>
      </c>
      <c r="E29" s="8" t="s">
        <v>4</v>
      </c>
      <c r="F29" s="8" t="s">
        <v>5</v>
      </c>
      <c r="G29" s="8" t="s">
        <v>6</v>
      </c>
      <c r="H29" s="8" t="s">
        <v>7</v>
      </c>
      <c r="I29" s="8" t="s">
        <v>8</v>
      </c>
      <c r="J29" s="8" t="s">
        <v>9</v>
      </c>
      <c r="K29" s="8" t="s">
        <v>10</v>
      </c>
      <c r="L29" s="8" t="s">
        <v>11</v>
      </c>
      <c r="M29" s="8" t="s">
        <v>12</v>
      </c>
      <c r="N29" s="44" t="s">
        <v>37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3" t="s">
        <v>38</v>
      </c>
      <c r="B30" s="45">
        <f t="shared" ref="B30:M30" si="8">MINUS(B13,B27)</f>
        <v>0</v>
      </c>
      <c r="C30" s="45">
        <f t="shared" si="8"/>
        <v>0</v>
      </c>
      <c r="D30" s="45">
        <f t="shared" si="8"/>
        <v>0</v>
      </c>
      <c r="E30" s="45">
        <f t="shared" si="8"/>
        <v>0</v>
      </c>
      <c r="F30" s="45">
        <f t="shared" si="8"/>
        <v>0</v>
      </c>
      <c r="G30" s="45">
        <f t="shared" si="8"/>
        <v>0</v>
      </c>
      <c r="H30" s="45">
        <f t="shared" si="8"/>
        <v>0</v>
      </c>
      <c r="I30" s="45">
        <f t="shared" si="8"/>
        <v>0</v>
      </c>
      <c r="J30" s="45">
        <f t="shared" si="8"/>
        <v>0</v>
      </c>
      <c r="K30" s="45">
        <f t="shared" si="8"/>
        <v>-1826.97368</v>
      </c>
      <c r="L30" s="45">
        <f t="shared" si="8"/>
        <v>6641.4736</v>
      </c>
      <c r="M30" s="45">
        <f t="shared" si="8"/>
        <v>59941.17832</v>
      </c>
      <c r="N30" s="46">
        <f>SUM(B30:M30)</f>
        <v>64755.67824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8" t="s">
        <v>39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2" t="s">
        <v>24</v>
      </c>
      <c r="B34" s="49">
        <f>SUM(N17)</f>
        <v>253909.13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7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 t="s">
        <v>40</v>
      </c>
      <c r="B35" s="49" t="str">
        <f>SUM(#REF!)</f>
        <v>#REF!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7"/>
      <c r="N35" s="7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2" t="s">
        <v>41</v>
      </c>
      <c r="B36" s="50" t="str">
        <f>sum(#REF!)</f>
        <v>#REF!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7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25</v>
      </c>
      <c r="B37" s="49">
        <f>SUM(N18)</f>
        <v>3500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 t="s">
        <v>26</v>
      </c>
      <c r="B38" s="49">
        <f>sum(N19)</f>
        <v>15344.86176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/>
      <c r="B39" s="4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3"/>
      <c r="B44" s="5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3"/>
      <c r="B45" s="5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6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3"/>
      <c r="B47" s="5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3"/>
      <c r="B48" s="5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mergeCells count="1">
    <mergeCell ref="A33:B3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8.71"/>
    <col customWidth="1" min="2" max="6" width="14.43"/>
    <col customWidth="1" min="12" max="12" width="14.29"/>
    <col customWidth="1" min="14" max="14" width="24.29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6"/>
      <c r="B3" s="7">
        <v>2023.0</v>
      </c>
      <c r="C3" s="7">
        <v>2023.0</v>
      </c>
      <c r="D3" s="7">
        <v>2023.0</v>
      </c>
      <c r="E3" s="7">
        <v>2023.0</v>
      </c>
      <c r="F3" s="7">
        <v>2023.0</v>
      </c>
      <c r="G3" s="7">
        <v>2023.0</v>
      </c>
      <c r="H3" s="7">
        <v>2023.0</v>
      </c>
      <c r="I3" s="7">
        <v>2023.0</v>
      </c>
      <c r="J3" s="7">
        <v>2023.0</v>
      </c>
      <c r="K3" s="7">
        <v>2023.0</v>
      </c>
      <c r="L3" s="7">
        <v>2023.0</v>
      </c>
      <c r="M3" s="7">
        <v>2023.0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8" t="s">
        <v>0</v>
      </c>
      <c r="B4" s="9" t="s">
        <v>1</v>
      </c>
      <c r="C4" s="9" t="s">
        <v>2</v>
      </c>
      <c r="D4" s="9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10" t="s">
        <v>13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" t="s">
        <v>14</v>
      </c>
      <c r="B5" s="11"/>
      <c r="C5" s="12"/>
      <c r="D5" s="13"/>
      <c r="E5" s="12"/>
      <c r="F5" s="12"/>
      <c r="G5" s="14"/>
      <c r="H5" s="15"/>
      <c r="I5" s="16"/>
      <c r="J5" s="17"/>
      <c r="K5" s="15"/>
      <c r="L5" s="14"/>
      <c r="M5" s="14"/>
      <c r="N5" s="18">
        <f t="shared" ref="N5:N8" si="1">SUM(B5:M5)</f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9" t="s">
        <v>15</v>
      </c>
      <c r="B6" s="11"/>
      <c r="C6" s="12"/>
      <c r="D6" s="13"/>
      <c r="E6" s="12"/>
      <c r="F6" s="13"/>
      <c r="G6" s="12"/>
      <c r="H6" s="14"/>
      <c r="I6" s="14"/>
      <c r="J6" s="20"/>
      <c r="K6" s="21"/>
      <c r="L6" s="14"/>
      <c r="M6" s="14"/>
      <c r="N6" s="18">
        <f t="shared" si="1"/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9" t="s">
        <v>16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18">
        <f t="shared" si="1"/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23" t="s">
        <v>17</v>
      </c>
      <c r="B8" s="24">
        <f t="shared" ref="B8:M8" si="2">B5-B6-B7</f>
        <v>0</v>
      </c>
      <c r="C8" s="24">
        <f t="shared" si="2"/>
        <v>0</v>
      </c>
      <c r="D8" s="24">
        <f t="shared" si="2"/>
        <v>0</v>
      </c>
      <c r="E8" s="24">
        <f t="shared" si="2"/>
        <v>0</v>
      </c>
      <c r="F8" s="24">
        <f t="shared" si="2"/>
        <v>0</v>
      </c>
      <c r="G8" s="24">
        <f t="shared" si="2"/>
        <v>0</v>
      </c>
      <c r="H8" s="24">
        <f t="shared" si="2"/>
        <v>0</v>
      </c>
      <c r="I8" s="24">
        <f t="shared" si="2"/>
        <v>0</v>
      </c>
      <c r="J8" s="24">
        <f t="shared" si="2"/>
        <v>0</v>
      </c>
      <c r="K8" s="24">
        <f t="shared" si="2"/>
        <v>0</v>
      </c>
      <c r="L8" s="24">
        <f t="shared" si="2"/>
        <v>0</v>
      </c>
      <c r="M8" s="24">
        <f t="shared" si="2"/>
        <v>0</v>
      </c>
      <c r="N8" s="25">
        <f t="shared" si="1"/>
        <v>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3"/>
      <c r="O9" s="3"/>
      <c r="P9" s="3"/>
      <c r="Q9" s="3"/>
      <c r="R9" s="3"/>
      <c r="S9" s="7"/>
      <c r="T9" s="3"/>
      <c r="U9" s="3"/>
      <c r="V9" s="3"/>
      <c r="W9" s="3"/>
      <c r="X9" s="3"/>
      <c r="Y9" s="3"/>
      <c r="Z9" s="3"/>
    </row>
    <row r="10" ht="15.75" customHeight="1">
      <c r="A10" s="2"/>
      <c r="B10" s="7">
        <v>2023.0</v>
      </c>
      <c r="C10" s="7">
        <v>2023.0</v>
      </c>
      <c r="D10" s="7">
        <v>2023.0</v>
      </c>
      <c r="E10" s="7">
        <v>2023.0</v>
      </c>
      <c r="F10" s="7">
        <v>2023.0</v>
      </c>
      <c r="G10" s="7">
        <v>2023.0</v>
      </c>
      <c r="H10" s="7">
        <v>2023.0</v>
      </c>
      <c r="I10" s="7">
        <v>2023.0</v>
      </c>
      <c r="J10" s="7">
        <v>2023.0</v>
      </c>
      <c r="K10" s="7">
        <v>2023.0</v>
      </c>
      <c r="L10" s="7">
        <v>2023.0</v>
      </c>
      <c r="M10" s="7">
        <v>2023.0</v>
      </c>
      <c r="N10" s="3"/>
      <c r="O10" s="3"/>
      <c r="P10" s="3"/>
      <c r="Q10" s="3"/>
      <c r="R10" s="7"/>
      <c r="S10" s="7"/>
      <c r="T10" s="3"/>
      <c r="U10" s="3"/>
      <c r="V10" s="3"/>
      <c r="W10" s="3"/>
      <c r="X10" s="3"/>
      <c r="Y10" s="3"/>
      <c r="Z10" s="3"/>
    </row>
    <row r="11" ht="15.75" customHeight="1">
      <c r="A11" s="8" t="s">
        <v>18</v>
      </c>
      <c r="B11" s="9" t="s">
        <v>1</v>
      </c>
      <c r="C11" s="9" t="s">
        <v>2</v>
      </c>
      <c r="D11" s="9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10" t="s">
        <v>13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9" t="s">
        <v>19</v>
      </c>
      <c r="B12" s="12"/>
      <c r="C12" s="12"/>
      <c r="D12" s="12"/>
      <c r="E12" s="12"/>
      <c r="F12" s="12"/>
      <c r="G12" s="12"/>
      <c r="H12" s="26"/>
      <c r="I12" s="12"/>
      <c r="J12" s="12"/>
      <c r="K12" s="21"/>
      <c r="L12" s="13"/>
      <c r="M12" s="27"/>
      <c r="N12" s="28">
        <f t="shared" ref="N12:N13" si="4">SUM(B12:M12)</f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23" t="s">
        <v>20</v>
      </c>
      <c r="B13" s="29">
        <f t="shared" ref="B13:M13" si="3">B8-B12</f>
        <v>0</v>
      </c>
      <c r="C13" s="29">
        <f t="shared" si="3"/>
        <v>0</v>
      </c>
      <c r="D13" s="29">
        <f t="shared" si="3"/>
        <v>0</v>
      </c>
      <c r="E13" s="29">
        <f t="shared" si="3"/>
        <v>0</v>
      </c>
      <c r="F13" s="29">
        <f t="shared" si="3"/>
        <v>0</v>
      </c>
      <c r="G13" s="29">
        <f t="shared" si="3"/>
        <v>0</v>
      </c>
      <c r="H13" s="29">
        <f t="shared" si="3"/>
        <v>0</v>
      </c>
      <c r="I13" s="29">
        <f t="shared" si="3"/>
        <v>0</v>
      </c>
      <c r="J13" s="29">
        <f t="shared" si="3"/>
        <v>0</v>
      </c>
      <c r="K13" s="29">
        <f t="shared" si="3"/>
        <v>0</v>
      </c>
      <c r="L13" s="29">
        <f t="shared" si="3"/>
        <v>0</v>
      </c>
      <c r="M13" s="29">
        <f t="shared" si="3"/>
        <v>0</v>
      </c>
      <c r="N13" s="30">
        <f t="shared" si="4"/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2"/>
      <c r="B15" s="7">
        <v>2023.0</v>
      </c>
      <c r="C15" s="7">
        <v>2023.0</v>
      </c>
      <c r="D15" s="7">
        <v>2023.0</v>
      </c>
      <c r="E15" s="7">
        <v>2023.0</v>
      </c>
      <c r="F15" s="7">
        <v>2023.0</v>
      </c>
      <c r="G15" s="7">
        <v>2023.0</v>
      </c>
      <c r="H15" s="7">
        <v>2023.0</v>
      </c>
      <c r="I15" s="7">
        <v>2023.0</v>
      </c>
      <c r="J15" s="7">
        <v>2023.0</v>
      </c>
      <c r="K15" s="7">
        <v>2023.0</v>
      </c>
      <c r="L15" s="7">
        <v>2023.0</v>
      </c>
      <c r="M15" s="7">
        <v>2023.0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8" t="s">
        <v>21</v>
      </c>
      <c r="B16" s="9" t="s">
        <v>1</v>
      </c>
      <c r="C16" s="9" t="s">
        <v>2</v>
      </c>
      <c r="D16" s="9" t="s">
        <v>3</v>
      </c>
      <c r="E16" s="8" t="s">
        <v>4</v>
      </c>
      <c r="F16" s="8" t="s">
        <v>5</v>
      </c>
      <c r="G16" s="8" t="s">
        <v>6</v>
      </c>
      <c r="H16" s="8" t="s">
        <v>7</v>
      </c>
      <c r="I16" s="8" t="s">
        <v>8</v>
      </c>
      <c r="J16" s="8" t="s">
        <v>9</v>
      </c>
      <c r="K16" s="8" t="s">
        <v>10</v>
      </c>
      <c r="L16" s="8" t="s">
        <v>11</v>
      </c>
      <c r="M16" s="8" t="s">
        <v>12</v>
      </c>
      <c r="N16" s="10" t="s">
        <v>13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1" t="s">
        <v>22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3">
        <f t="shared" ref="N17:N30" si="5">SUM(B17:M17)</f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4" t="s">
        <v>23</v>
      </c>
      <c r="B18" s="32"/>
      <c r="C18" s="32"/>
      <c r="D18" s="32"/>
      <c r="E18" s="32"/>
      <c r="F18" s="32"/>
      <c r="G18" s="32"/>
      <c r="H18" s="32"/>
      <c r="I18" s="32"/>
      <c r="J18" s="32"/>
      <c r="K18" s="21"/>
      <c r="L18" s="13"/>
      <c r="M18" s="13"/>
      <c r="N18" s="33">
        <f t="shared" si="5"/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5" t="s">
        <v>24</v>
      </c>
      <c r="B19" s="32"/>
      <c r="C19" s="32"/>
      <c r="D19" s="32"/>
      <c r="E19" s="32"/>
      <c r="F19" s="32"/>
      <c r="G19" s="32"/>
      <c r="H19" s="32"/>
      <c r="I19" s="32"/>
      <c r="J19" s="32"/>
      <c r="K19" s="21"/>
      <c r="L19" s="13"/>
      <c r="M19" s="13"/>
      <c r="N19" s="33">
        <f t="shared" si="5"/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4" t="s">
        <v>25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3">
        <f t="shared" si="5"/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5" t="s">
        <v>26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3">
        <f t="shared" si="5"/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 t="s">
        <v>27</v>
      </c>
      <c r="B22" s="32"/>
      <c r="C22" s="32"/>
      <c r="D22" s="32"/>
      <c r="E22" s="32"/>
      <c r="F22" s="37"/>
      <c r="G22" s="37"/>
      <c r="H22" s="37"/>
      <c r="I22" s="37"/>
      <c r="J22" s="37"/>
      <c r="K22" s="37"/>
      <c r="L22" s="37"/>
      <c r="M22" s="37"/>
      <c r="N22" s="33">
        <f t="shared" si="5"/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1" t="s">
        <v>28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8"/>
      <c r="N23" s="33">
        <f t="shared" si="5"/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1" t="s">
        <v>29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8"/>
      <c r="N24" s="33">
        <f t="shared" si="5"/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1" t="s">
        <v>30</v>
      </c>
      <c r="B25" s="32"/>
      <c r="C25" s="32"/>
      <c r="D25" s="32"/>
      <c r="E25" s="32"/>
      <c r="F25" s="32"/>
      <c r="G25" s="32"/>
      <c r="H25" s="32"/>
      <c r="I25" s="32"/>
      <c r="J25" s="32"/>
      <c r="K25" s="21"/>
      <c r="L25" s="13"/>
      <c r="M25" s="13"/>
      <c r="N25" s="33">
        <f t="shared" si="5"/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9" t="s">
        <v>31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3">
        <f t="shared" si="5"/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 t="s">
        <v>32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3">
        <f t="shared" si="5"/>
        <v>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5" t="s">
        <v>33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3">
        <f t="shared" si="5"/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0" t="s">
        <v>34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3">
        <f t="shared" si="5"/>
        <v>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3" t="s">
        <v>35</v>
      </c>
      <c r="B30" s="41">
        <f t="shared" ref="B30:M30" si="6">SUM(B17:B29)</f>
        <v>0</v>
      </c>
      <c r="C30" s="41">
        <f t="shared" si="6"/>
        <v>0</v>
      </c>
      <c r="D30" s="41">
        <f t="shared" si="6"/>
        <v>0</v>
      </c>
      <c r="E30" s="41">
        <f t="shared" si="6"/>
        <v>0</v>
      </c>
      <c r="F30" s="41">
        <f t="shared" si="6"/>
        <v>0</v>
      </c>
      <c r="G30" s="41">
        <f t="shared" si="6"/>
        <v>0</v>
      </c>
      <c r="H30" s="41">
        <f t="shared" si="6"/>
        <v>0</v>
      </c>
      <c r="I30" s="41">
        <f t="shared" si="6"/>
        <v>0</v>
      </c>
      <c r="J30" s="41">
        <f t="shared" si="6"/>
        <v>0</v>
      </c>
      <c r="K30" s="41">
        <f t="shared" si="6"/>
        <v>0</v>
      </c>
      <c r="L30" s="41">
        <f t="shared" si="6"/>
        <v>0</v>
      </c>
      <c r="M30" s="41">
        <f t="shared" si="6"/>
        <v>0</v>
      </c>
      <c r="N30" s="42">
        <f t="shared" si="5"/>
        <v>0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6"/>
      <c r="B31" s="6"/>
      <c r="C31" s="6"/>
      <c r="D31" s="6"/>
      <c r="E31" s="43"/>
      <c r="F31" s="43"/>
      <c r="G31" s="43"/>
      <c r="H31" s="43"/>
      <c r="I31" s="43"/>
      <c r="J31" s="6"/>
      <c r="K31" s="6"/>
      <c r="L31" s="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 t="s">
        <v>36</v>
      </c>
      <c r="B32" s="9" t="s">
        <v>1</v>
      </c>
      <c r="C32" s="9" t="s">
        <v>2</v>
      </c>
      <c r="D32" s="9" t="s">
        <v>3</v>
      </c>
      <c r="E32" s="8" t="s">
        <v>4</v>
      </c>
      <c r="F32" s="8" t="s">
        <v>5</v>
      </c>
      <c r="G32" s="8" t="s">
        <v>6</v>
      </c>
      <c r="H32" s="8" t="s">
        <v>7</v>
      </c>
      <c r="I32" s="8" t="s">
        <v>8</v>
      </c>
      <c r="J32" s="8" t="s">
        <v>9</v>
      </c>
      <c r="K32" s="8" t="s">
        <v>10</v>
      </c>
      <c r="L32" s="8" t="s">
        <v>11</v>
      </c>
      <c r="M32" s="8" t="s">
        <v>12</v>
      </c>
      <c r="N32" s="44" t="s">
        <v>37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3" t="s">
        <v>38</v>
      </c>
      <c r="B33" s="45">
        <f t="shared" ref="B33:M33" si="7">MINUS(B13,B30)</f>
        <v>0</v>
      </c>
      <c r="C33" s="45">
        <f t="shared" si="7"/>
        <v>0</v>
      </c>
      <c r="D33" s="45">
        <f t="shared" si="7"/>
        <v>0</v>
      </c>
      <c r="E33" s="45">
        <f t="shared" si="7"/>
        <v>0</v>
      </c>
      <c r="F33" s="45">
        <f t="shared" si="7"/>
        <v>0</v>
      </c>
      <c r="G33" s="45">
        <f t="shared" si="7"/>
        <v>0</v>
      </c>
      <c r="H33" s="45">
        <f t="shared" si="7"/>
        <v>0</v>
      </c>
      <c r="I33" s="45">
        <f t="shared" si="7"/>
        <v>0</v>
      </c>
      <c r="J33" s="45">
        <f t="shared" si="7"/>
        <v>0</v>
      </c>
      <c r="K33" s="45">
        <f t="shared" si="7"/>
        <v>0</v>
      </c>
      <c r="L33" s="45">
        <f t="shared" si="7"/>
        <v>0</v>
      </c>
      <c r="M33" s="45">
        <f t="shared" si="7"/>
        <v>0</v>
      </c>
      <c r="N33" s="46">
        <f>SUM(B33:M33)</f>
        <v>0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8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" t="s">
        <v>24</v>
      </c>
      <c r="B37" s="49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7"/>
      <c r="N37" s="2"/>
      <c r="O37" s="2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2" t="s">
        <v>40</v>
      </c>
      <c r="B38" s="49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7"/>
      <c r="N38" s="7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" t="s">
        <v>41</v>
      </c>
      <c r="B39" s="50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7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" t="s">
        <v>25</v>
      </c>
      <c r="B40" s="49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 t="s">
        <v>26</v>
      </c>
      <c r="B41" s="49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2"/>
      <c r="B42" s="4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3"/>
      <c r="B47" s="5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3"/>
      <c r="B48" s="5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6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3"/>
      <c r="B50" s="5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3"/>
      <c r="B51" s="5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autoFilter ref="$L$21:$L$30"/>
  <mergeCells count="1">
    <mergeCell ref="A36:B3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