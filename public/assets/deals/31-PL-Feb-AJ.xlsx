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  <sheet state="visible" name="2025" sheetId="2" r:id="rId6"/>
    <sheet state="visible" name="2026" sheetId="3" r:id="rId7"/>
  </sheets>
  <definedNames/>
  <calcPr/>
</workbook>
</file>

<file path=xl/sharedStrings.xml><?xml version="1.0" encoding="utf-8"?>
<sst xmlns="http://schemas.openxmlformats.org/spreadsheetml/2006/main" count="219" uniqueCount="37">
  <si>
    <t>AMELIAS</t>
  </si>
  <si>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</si>
  <si>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</si>
  <si>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</si>
  <si>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</si>
  <si>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</si>
  <si>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</si>
  <si>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</si>
  <si>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</si>
  <si>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</si>
  <si>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</si>
  <si>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</si>
  <si>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</si>
  <si>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</si>
  <si>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</t>
  </si>
  <si>
    <t>Refunds</t>
  </si>
  <si>
    <t>Total Income</t>
  </si>
  <si>
    <t>Cost of Goods</t>
  </si>
  <si>
    <t>Product Costs + Shipping</t>
  </si>
  <si>
    <t xml:space="preserve">Gross Profit </t>
  </si>
  <si>
    <t>Expenses</t>
  </si>
  <si>
    <t>TikTok</t>
  </si>
  <si>
    <t>Google</t>
  </si>
  <si>
    <t>Facebook</t>
  </si>
  <si>
    <t>Snapchat</t>
  </si>
  <si>
    <t>Pinterest</t>
  </si>
  <si>
    <t>Processing Fees</t>
  </si>
  <si>
    <t>Apps &amp; Software</t>
  </si>
  <si>
    <t>(Klaviyo, TripleWhale)</t>
  </si>
  <si>
    <t>Consultancy Agency</t>
  </si>
  <si>
    <t>Virtual Assistant(s)</t>
  </si>
  <si>
    <t>Email Agency</t>
  </si>
  <si>
    <t>Disputes &amp; Chargebacks</t>
  </si>
  <si>
    <t>Total Expenses</t>
  </si>
  <si>
    <t>Profit</t>
  </si>
  <si>
    <t>Net Profit</t>
  </si>
  <si>
    <t>Total Spent Per Traffic 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</si>
</sst>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-409]&quot; &quot;#,##0.00"/>
    <numFmt numFmtId="165" formatCode="[$$]#,##0.00"/>
    <numFmt numFmtId="166" formatCode="[$$-409]&quot; &quot;#,##0"/>
  </numFmts>
  <fonts count="9">
    <font>
      <sz val="10.0"/>
      <color rgb="FF000000"/>
      <name val="Arial"/>
      <scheme val="minor"/>
    </font>
    <font>
      <b/>
      <sz val="12.0"/>
      <color rgb="FFFF9900"/>
      <name val="Montserrat"/>
    </font>
    <font>
      <color theme="1"/>
      <name val="Arial"/>
    </font>
    <font>
      <color theme="1"/>
      <name val="Montserrat"/>
    </font>
    <font>
      <b/>
      <color rgb="FFFFFFFF"/>
      <name val="Montserrat"/>
    </font>
    <font>
      <color rgb="FF303030"/>
      <name val="Montserrat"/>
    </font>
    <font>
      <b/>
      <color theme="1"/>
      <name val="Montserrat"/>
    </font>
    <font>
      <color rgb="FF1C1E21"/>
      <name val="Montserrat"/>
    </font>
    <font/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7F7F7"/>
        <bgColor rgb="FFF7F7F7"/>
      </patternFill>
    </fill>
  </fills>
  <borders count="17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/>
      <bottom/>
    </border>
    <border>
      <left/>
      <right/>
      <top/>
      <bottom/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 style="thin">
        <color rgb="FFAAAAAA"/>
      </left>
      <right style="thin">
        <color rgb="FFAAAAAA"/>
      </right>
      <top/>
      <bottom/>
    </border>
    <border>
      <left style="thin">
        <color rgb="FFAAAAAA"/>
      </left>
      <right/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right/>
      <top style="thin">
        <color rgb="FFAAAAAA"/>
      </top>
      <bottom style="thin">
        <color rgb="FFAAAAAA"/>
      </bottom>
    </border>
    <border>
      <left/>
      <right style="thin">
        <color rgb="FFAAAAAA"/>
      </right>
      <top style="thin">
        <color rgb="FFAAAAAA"/>
      </top>
      <bottom/>
    </border>
    <border>
      <left/>
      <right style="thin">
        <color rgb="FFAAAAAA"/>
      </right>
      <top/>
      <bottom/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top/>
      <bottom style="thin">
        <color rgb="FFAAAAAA"/>
      </bottom>
    </border>
    <border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2" fillId="2" fontId="3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3" fillId="3" fontId="4" numFmtId="49" xfId="0" applyAlignment="1" applyBorder="1" applyFill="1" applyFont="1" applyNumberFormat="1">
      <alignment vertical="bottom"/>
    </xf>
    <xf borderId="4" fillId="3" fontId="4" numFmtId="49" xfId="0" applyAlignment="1" applyBorder="1" applyFont="1" applyNumberFormat="1">
      <alignment vertical="bottom"/>
    </xf>
    <xf borderId="4" fillId="4" fontId="2" numFmtId="49" xfId="0" applyAlignment="1" applyBorder="1" applyFill="1" applyFont="1" applyNumberFormat="1">
      <alignment vertical="bottom"/>
    </xf>
    <xf borderId="5" fillId="2" fontId="2" numFmtId="0" xfId="0" applyAlignment="1" applyBorder="1" applyFont="1">
      <alignment vertical="bottom"/>
    </xf>
    <xf borderId="6" fillId="2" fontId="3" numFmtId="49" xfId="0" applyAlignment="1" applyBorder="1" applyFont="1" applyNumberFormat="1">
      <alignment vertical="bottom"/>
    </xf>
    <xf borderId="4" fillId="5" fontId="2" numFmtId="164" xfId="0" applyAlignment="1" applyBorder="1" applyFill="1" applyFont="1" applyNumberFormat="1">
      <alignment vertical="bottom"/>
    </xf>
    <xf borderId="4" fillId="5" fontId="5" numFmtId="164" xfId="0" applyAlignment="1" applyBorder="1" applyFont="1" applyNumberFormat="1">
      <alignment horizontal="right" vertical="bottom"/>
    </xf>
    <xf borderId="4" fillId="5" fontId="5" numFmtId="164" xfId="0" applyAlignment="1" applyBorder="1" applyFont="1" applyNumberFormat="1">
      <alignment horizontal="right" readingOrder="0" vertical="bottom"/>
    </xf>
    <xf borderId="1" fillId="4" fontId="2" numFmtId="164" xfId="0" applyAlignment="1" applyBorder="1" applyFont="1" applyNumberFormat="1">
      <alignment horizontal="right" vertical="bottom"/>
    </xf>
    <xf borderId="2" fillId="2" fontId="3" numFmtId="49" xfId="0" applyAlignment="1" applyBorder="1" applyFont="1" applyNumberFormat="1">
      <alignment vertical="bottom"/>
    </xf>
    <xf borderId="7" fillId="2" fontId="3" numFmtId="164" xfId="0" applyAlignment="1" applyBorder="1" applyFont="1" applyNumberFormat="1">
      <alignment horizontal="right" vertical="bottom"/>
    </xf>
    <xf borderId="7" fillId="2" fontId="3" numFmtId="164" xfId="0" applyAlignment="1" applyBorder="1" applyFont="1" applyNumberFormat="1">
      <alignment horizontal="right" readingOrder="0" vertical="bottom"/>
    </xf>
    <xf borderId="3" fillId="4" fontId="6" numFmtId="49" xfId="0" applyAlignment="1" applyBorder="1" applyFont="1" applyNumberFormat="1">
      <alignment vertical="bottom"/>
    </xf>
    <xf borderId="4" fillId="4" fontId="3" numFmtId="164" xfId="0" applyAlignment="1" applyBorder="1" applyFont="1" applyNumberFormat="1">
      <alignment horizontal="right" vertical="bottom"/>
    </xf>
    <xf borderId="6" fillId="2" fontId="2" numFmtId="0" xfId="0" applyAlignment="1" applyBorder="1" applyFont="1">
      <alignment vertical="bottom"/>
    </xf>
    <xf borderId="6" fillId="2" fontId="2" numFmtId="0" xfId="0" applyAlignment="1" applyBorder="1" applyFont="1">
      <alignment readingOrder="0" vertical="bottom"/>
    </xf>
    <xf borderId="6" fillId="4" fontId="2" numFmtId="0" xfId="0" applyAlignment="1" applyBorder="1" applyFont="1">
      <alignment vertical="bottom"/>
    </xf>
    <xf borderId="2" fillId="4" fontId="2" numFmtId="0" xfId="0" applyAlignment="1" applyBorder="1" applyFont="1">
      <alignment vertical="bottom"/>
    </xf>
    <xf borderId="3" fillId="2" fontId="3" numFmtId="49" xfId="0" applyAlignment="1" applyBorder="1" applyFont="1" applyNumberFormat="1">
      <alignment vertical="bottom"/>
    </xf>
    <xf borderId="4" fillId="2" fontId="2" numFmtId="164" xfId="0" applyAlignment="1" applyBorder="1" applyFont="1" applyNumberFormat="1">
      <alignment vertical="bottom"/>
    </xf>
    <xf borderId="4" fillId="2" fontId="3" numFmtId="164" xfId="0" applyAlignment="1" applyBorder="1" applyFont="1" applyNumberFormat="1">
      <alignment horizontal="right" vertical="bottom"/>
    </xf>
    <xf borderId="4" fillId="2" fontId="3" numFmtId="164" xfId="0" applyAlignment="1" applyBorder="1" applyFont="1" applyNumberFormat="1">
      <alignment horizontal="right" readingOrder="0" vertical="bottom"/>
    </xf>
    <xf borderId="4" fillId="4" fontId="6" numFmtId="164" xfId="0" applyAlignment="1" applyBorder="1" applyFont="1" applyNumberFormat="1">
      <alignment horizontal="right" vertical="bottom"/>
    </xf>
    <xf borderId="6" fillId="2" fontId="2" numFmtId="165" xfId="0" applyAlignment="1" applyBorder="1" applyFont="1" applyNumberFormat="1">
      <alignment vertical="bottom"/>
    </xf>
    <xf borderId="8" fillId="2" fontId="2" numFmtId="165" xfId="0" applyAlignment="1" applyBorder="1" applyFont="1" applyNumberFormat="1">
      <alignment vertical="bottom"/>
    </xf>
    <xf borderId="9" fillId="2" fontId="2" numFmtId="165" xfId="0" applyAlignment="1" applyBorder="1" applyFont="1" applyNumberFormat="1">
      <alignment vertical="bottom"/>
    </xf>
    <xf borderId="9" fillId="4" fontId="2" numFmtId="164" xfId="0" applyAlignment="1" applyBorder="1" applyFont="1" applyNumberFormat="1">
      <alignment vertical="bottom"/>
    </xf>
    <xf borderId="1" fillId="2" fontId="3" numFmtId="49" xfId="0" applyAlignment="1" applyBorder="1" applyFont="1" applyNumberFormat="1">
      <alignment vertical="bottom"/>
    </xf>
    <xf borderId="1" fillId="2" fontId="2" numFmtId="165" xfId="0" applyAlignment="1" applyBorder="1" applyFont="1" applyNumberFormat="1">
      <alignment vertical="bottom"/>
    </xf>
    <xf borderId="1" fillId="2" fontId="2" numFmtId="165" xfId="0" applyAlignment="1" applyBorder="1" applyFont="1" applyNumberFormat="1">
      <alignment horizontal="right" vertical="bottom"/>
    </xf>
    <xf borderId="10" fillId="2" fontId="2" numFmtId="165" xfId="0" applyAlignment="1" applyBorder="1" applyFont="1" applyNumberFormat="1">
      <alignment horizontal="right" vertical="bottom"/>
    </xf>
    <xf borderId="4" fillId="2" fontId="2" numFmtId="165" xfId="0" applyAlignment="1" applyBorder="1" applyFont="1" applyNumberFormat="1">
      <alignment horizontal="right" vertical="bottom"/>
    </xf>
    <xf borderId="5" fillId="2" fontId="2" numFmtId="165" xfId="0" applyAlignment="1" applyBorder="1" applyFont="1" applyNumberFormat="1">
      <alignment horizontal="right" readingOrder="0" vertical="bottom"/>
    </xf>
    <xf borderId="10" fillId="2" fontId="2" numFmtId="165" xfId="0" applyAlignment="1" applyBorder="1" applyFont="1" applyNumberFormat="1">
      <alignment horizontal="right" readingOrder="0" vertical="bottom"/>
    </xf>
    <xf borderId="1" fillId="4" fontId="2" numFmtId="165" xfId="0" applyAlignment="1" applyBorder="1" applyFont="1" applyNumberFormat="1">
      <alignment horizontal="right" vertical="bottom"/>
    </xf>
    <xf borderId="1" fillId="2" fontId="3" numFmtId="165" xfId="0" applyAlignment="1" applyBorder="1" applyFont="1" applyNumberFormat="1">
      <alignment horizontal="right" vertical="bottom"/>
    </xf>
    <xf borderId="10" fillId="2" fontId="3" numFmtId="165" xfId="0" applyAlignment="1" applyBorder="1" applyFont="1" applyNumberFormat="1">
      <alignment horizontal="right" vertical="bottom"/>
    </xf>
    <xf borderId="4" fillId="2" fontId="3" numFmtId="165" xfId="0" applyAlignment="1" applyBorder="1" applyFont="1" applyNumberFormat="1">
      <alignment horizontal="right" readingOrder="0" vertical="bottom"/>
    </xf>
    <xf borderId="5" fillId="2" fontId="3" numFmtId="165" xfId="0" applyAlignment="1" applyBorder="1" applyFont="1" applyNumberFormat="1">
      <alignment horizontal="right" readingOrder="0" vertical="bottom"/>
    </xf>
    <xf borderId="10" fillId="2" fontId="3" numFmtId="165" xfId="0" applyAlignment="1" applyBorder="1" applyFont="1" applyNumberFormat="1">
      <alignment horizontal="right" readingOrder="0" vertical="bottom"/>
    </xf>
    <xf borderId="10" fillId="2" fontId="2" numFmtId="165" xfId="0" applyAlignment="1" applyBorder="1" applyFont="1" applyNumberFormat="1">
      <alignment vertical="bottom"/>
    </xf>
    <xf borderId="10" fillId="4" fontId="2" numFmtId="164" xfId="0" applyAlignment="1" applyBorder="1" applyFont="1" applyNumberFormat="1">
      <alignment vertical="bottom"/>
    </xf>
    <xf borderId="2" fillId="2" fontId="2" numFmtId="165" xfId="0" applyAlignment="1" applyBorder="1" applyFont="1" applyNumberFormat="1">
      <alignment vertical="bottom"/>
    </xf>
    <xf borderId="4" fillId="2" fontId="2" numFmtId="165" xfId="0" applyAlignment="1" applyBorder="1" applyFont="1" applyNumberFormat="1">
      <alignment vertical="bottom"/>
    </xf>
    <xf borderId="4" fillId="2" fontId="7" numFmtId="165" xfId="0" applyAlignment="1" applyBorder="1" applyFont="1" applyNumberFormat="1">
      <alignment horizontal="right" vertical="bottom"/>
    </xf>
    <xf borderId="5" fillId="2" fontId="3" numFmtId="165" xfId="0" applyAlignment="1" applyBorder="1" applyFont="1" applyNumberFormat="1">
      <alignment horizontal="right" vertical="bottom"/>
    </xf>
    <xf borderId="6" fillId="2" fontId="3" numFmtId="165" xfId="0" applyAlignment="1" applyBorder="1" applyFont="1" applyNumberFormat="1">
      <alignment horizontal="right" vertical="bottom"/>
    </xf>
    <xf borderId="11" fillId="2" fontId="3" numFmtId="165" xfId="0" applyAlignment="1" applyBorder="1" applyFont="1" applyNumberFormat="1">
      <alignment horizontal="right" readingOrder="0" vertical="bottom"/>
    </xf>
    <xf borderId="4" fillId="2" fontId="5" numFmtId="165" xfId="0" applyAlignment="1" applyBorder="1" applyFont="1" applyNumberFormat="1">
      <alignment horizontal="right" readingOrder="0" vertical="bottom"/>
    </xf>
    <xf borderId="5" fillId="2" fontId="2" numFmtId="165" xfId="0" applyAlignment="1" applyBorder="1" applyFont="1" applyNumberFormat="1">
      <alignment vertical="bottom"/>
    </xf>
    <xf borderId="1" fillId="2" fontId="3" numFmtId="165" xfId="0" applyAlignment="1" applyBorder="1" applyFont="1" applyNumberFormat="1">
      <alignment horizontal="right" readingOrder="0" vertical="bottom"/>
    </xf>
    <xf borderId="2" fillId="2" fontId="2" numFmtId="165" xfId="0" applyAlignment="1" applyBorder="1" applyFont="1" applyNumberFormat="1">
      <alignment horizontal="right" vertical="bottom"/>
    </xf>
    <xf borderId="7" fillId="2" fontId="2" numFmtId="165" xfId="0" applyAlignment="1" applyBorder="1" applyFont="1" applyNumberFormat="1">
      <alignment horizontal="right" vertical="bottom"/>
    </xf>
    <xf borderId="12" fillId="2" fontId="2" numFmtId="165" xfId="0" applyAlignment="1" applyBorder="1" applyFont="1" applyNumberFormat="1">
      <alignment horizontal="right" readingOrder="0" vertical="bottom"/>
    </xf>
    <xf borderId="7" fillId="2" fontId="2" numFmtId="165" xfId="0" applyAlignment="1" applyBorder="1" applyFont="1" applyNumberFormat="1">
      <alignment horizontal="right" readingOrder="0" vertical="bottom"/>
    </xf>
    <xf borderId="7" fillId="4" fontId="2" numFmtId="164" xfId="0" applyAlignment="1" applyBorder="1" applyFont="1" applyNumberFormat="1">
      <alignment vertical="bottom"/>
    </xf>
    <xf borderId="8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13" fillId="2" fontId="2" numFmtId="0" xfId="0" applyAlignment="1" applyBorder="1" applyFont="1">
      <alignment vertical="bottom"/>
    </xf>
    <xf borderId="8" fillId="4" fontId="2" numFmtId="0" xfId="0" applyAlignment="1" applyBorder="1" applyFont="1">
      <alignment vertical="bottom"/>
    </xf>
    <xf borderId="6" fillId="2" fontId="2" numFmtId="10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4" fillId="2" fontId="2" numFmtId="0" xfId="0" applyAlignment="1" applyBorder="1" applyFont="1">
      <alignment vertical="bottom"/>
    </xf>
    <xf borderId="14" fillId="0" fontId="2" numFmtId="2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5" fillId="3" fontId="4" numFmtId="49" xfId="0" applyAlignment="1" applyBorder="1" applyFont="1" applyNumberFormat="1">
      <alignment vertical="bottom"/>
    </xf>
    <xf borderId="16" fillId="0" fontId="8" numFmtId="0" xfId="0" applyBorder="1" applyFont="1"/>
    <xf borderId="6" fillId="2" fontId="2" numFmtId="49" xfId="0" applyAlignment="1" applyBorder="1" applyFont="1" applyNumberFormat="1">
      <alignment vertical="bottom"/>
    </xf>
    <xf borderId="1" fillId="2" fontId="2" numFmtId="164" xfId="0" applyAlignment="1" applyBorder="1" applyFont="1" applyNumberFormat="1">
      <alignment vertical="bottom"/>
    </xf>
    <xf borderId="1" fillId="2" fontId="2" numFmtId="49" xfId="0" applyAlignment="1" applyBorder="1" applyFont="1" applyNumberFormat="1">
      <alignment vertical="bottom"/>
    </xf>
    <xf borderId="5" fillId="2" fontId="2" numFmtId="164" xfId="0" applyAlignment="1" applyBorder="1" applyFont="1" applyNumberFormat="1">
      <alignment vertical="bottom"/>
    </xf>
    <xf borderId="5" fillId="2" fontId="2" numFmtId="2" xfId="0" applyAlignment="1" applyBorder="1" applyFont="1" applyNumberFormat="1">
      <alignment vertical="bottom"/>
    </xf>
    <xf borderId="4" fillId="2" fontId="2" numFmtId="4" xfId="0" applyAlignment="1" applyBorder="1" applyFont="1" applyNumberFormat="1">
      <alignment vertical="bottom"/>
    </xf>
    <xf borderId="0" fillId="2" fontId="2" numFmtId="0" xfId="0" applyAlignment="1" applyFont="1">
      <alignment vertical="bottom"/>
    </xf>
    <xf borderId="4" fillId="5" fontId="2" numFmtId="164" xfId="0" applyAlignment="1" applyBorder="1" applyFont="1" applyNumberFormat="1">
      <alignment readingOrder="0" vertical="bottom"/>
    </xf>
    <xf borderId="1" fillId="4" fontId="2" numFmtId="0" xfId="0" applyAlignment="1" applyBorder="1" applyFont="1">
      <alignment vertical="bottom"/>
    </xf>
    <xf borderId="4" fillId="4" fontId="2" numFmtId="164" xfId="0" applyAlignment="1" applyBorder="1" applyFont="1" applyNumberFormat="1">
      <alignment vertical="bottom"/>
    </xf>
    <xf borderId="4" fillId="2" fontId="2" numFmtId="164" xfId="0" applyAlignment="1" applyBorder="1" applyFont="1" applyNumberFormat="1">
      <alignment readingOrder="0" vertical="bottom"/>
    </xf>
    <xf borderId="6" fillId="2" fontId="2" numFmtId="165" xfId="0" applyAlignment="1" applyBorder="1" applyFont="1" applyNumberFormat="1">
      <alignment readingOrder="0" vertical="bottom"/>
    </xf>
    <xf borderId="8" fillId="2" fontId="2" numFmtId="165" xfId="0" applyAlignment="1" applyBorder="1" applyFont="1" applyNumberFormat="1">
      <alignment readingOrder="0" vertical="bottom"/>
    </xf>
    <xf borderId="9" fillId="2" fontId="2" numFmtId="165" xfId="0" applyAlignment="1" applyBorder="1" applyFont="1" applyNumberFormat="1">
      <alignment readingOrder="0" vertical="bottom"/>
    </xf>
    <xf borderId="1" fillId="2" fontId="2" numFmtId="165" xfId="0" applyAlignment="1" applyBorder="1" applyFont="1" applyNumberFormat="1">
      <alignment horizontal="right" readingOrder="0" vertical="bottom"/>
    </xf>
    <xf borderId="10" fillId="2" fontId="2" numFmtId="165" xfId="0" applyAlignment="1" applyBorder="1" applyFont="1" applyNumberFormat="1">
      <alignment readingOrder="0" vertical="bottom"/>
    </xf>
    <xf borderId="4" fillId="2" fontId="2" numFmtId="165" xfId="0" applyAlignment="1" applyBorder="1" applyFont="1" applyNumberFormat="1">
      <alignment readingOrder="0" vertical="bottom"/>
    </xf>
    <xf borderId="5" fillId="2" fontId="2" numFmtId="165" xfId="0" applyAlignment="1" applyBorder="1" applyFont="1" applyNumberFormat="1">
      <alignment readingOrder="0" vertical="bottom"/>
    </xf>
    <xf borderId="10" fillId="4" fontId="2" numFmtId="166" xfId="0" applyAlignment="1" applyBorder="1" applyFont="1" applyNumberFormat="1">
      <alignment vertical="bottom"/>
    </xf>
    <xf borderId="2" fillId="2" fontId="2" numFmtId="165" xfId="0" applyAlignment="1" applyBorder="1" applyFont="1" applyNumberFormat="1">
      <alignment readingOrder="0" vertical="bottom"/>
    </xf>
    <xf borderId="1" fillId="2" fontId="2" numFmtId="165" xfId="0" applyAlignment="1" applyBorder="1" applyFont="1" applyNumberFormat="1">
      <alignment readingOrder="0" vertical="bottom"/>
    </xf>
    <xf borderId="7" fillId="2" fontId="2" numFmtId="165" xfId="0" applyAlignment="1" applyBorder="1" applyFont="1" applyNumberFormat="1">
      <alignment readingOrder="0" vertical="bottom"/>
    </xf>
    <xf borderId="6" fillId="2" fontId="3" numFmtId="165" xfId="0" applyAlignment="1" applyBorder="1" applyFont="1" applyNumberFormat="1">
      <alignment horizontal="right" readingOrder="0" vertical="bottom"/>
    </xf>
    <xf borderId="11" fillId="2" fontId="2" numFmtId="165" xfId="0" applyAlignment="1" applyBorder="1" applyFont="1" applyNumberFormat="1">
      <alignment readingOrder="0" vertical="bottom"/>
    </xf>
    <xf borderId="2" fillId="2" fontId="2" numFmtId="165" xfId="0" applyAlignment="1" applyBorder="1" applyFont="1" applyNumberFormat="1">
      <alignment horizontal="right" readingOrder="0" vertical="bottom"/>
    </xf>
    <xf borderId="12" fillId="2" fontId="2" numFmtId="165" xfId="0" applyAlignment="1" applyBorder="1" applyFont="1" applyNumberFormat="1">
      <alignment readingOrder="0" vertical="bottom"/>
    </xf>
    <xf borderId="2" fillId="2" fontId="3" numFmtId="0" xfId="0" applyAlignment="1" applyBorder="1" applyFont="1">
      <alignment horizontal="right" readingOrder="0" vertical="bottom"/>
    </xf>
    <xf borderId="6" fillId="2" fontId="2" numFmtId="4" xfId="0" applyAlignment="1" applyBorder="1" applyFont="1" applyNumberFormat="1">
      <alignment readingOrder="0" vertical="bottom"/>
    </xf>
    <xf borderId="6" fillId="2" fontId="2" numFmtId="4" xfId="0" applyAlignment="1" applyBorder="1" applyFont="1" applyNumberFormat="1">
      <alignment vertical="bottom"/>
    </xf>
    <xf borderId="8" fillId="2" fontId="2" numFmtId="4" xfId="0" applyAlignment="1" applyBorder="1" applyFont="1" applyNumberFormat="1">
      <alignment vertical="bottom"/>
    </xf>
    <xf borderId="9" fillId="2" fontId="2" numFmtId="4" xfId="0" applyAlignment="1" applyBorder="1" applyFont="1" applyNumberFormat="1">
      <alignment vertical="bottom"/>
    </xf>
    <xf borderId="1" fillId="2" fontId="2" numFmtId="4" xfId="0" applyAlignment="1" applyBorder="1" applyFont="1" applyNumberFormat="1">
      <alignment horizontal="right" readingOrder="0" vertical="bottom"/>
    </xf>
    <xf borderId="10" fillId="2" fontId="2" numFmtId="4" xfId="0" applyAlignment="1" applyBorder="1" applyFont="1" applyNumberFormat="1">
      <alignment readingOrder="0" vertical="bottom"/>
    </xf>
    <xf borderId="5" fillId="2" fontId="2" numFmtId="4" xfId="0" applyAlignment="1" applyBorder="1" applyFont="1" applyNumberFormat="1">
      <alignment vertical="bottom"/>
    </xf>
    <xf borderId="10" fillId="2" fontId="2" numFmtId="4" xfId="0" applyAlignment="1" applyBorder="1" applyFont="1" applyNumberFormat="1">
      <alignment vertical="bottom"/>
    </xf>
    <xf borderId="1" fillId="2" fontId="3" numFmtId="4" xfId="0" applyAlignment="1" applyBorder="1" applyFont="1" applyNumberFormat="1">
      <alignment horizontal="right" readingOrder="0" vertical="bottom"/>
    </xf>
    <xf borderId="1" fillId="2" fontId="2" numFmtId="4" xfId="0" applyAlignment="1" applyBorder="1" applyFont="1" applyNumberFormat="1">
      <alignment vertical="bottom"/>
    </xf>
    <xf borderId="2" fillId="2" fontId="2" numFmtId="4" xfId="0" applyAlignment="1" applyBorder="1" applyFont="1" applyNumberFormat="1">
      <alignment readingOrder="0" vertical="bottom"/>
    </xf>
    <xf borderId="1" fillId="2" fontId="2" numFmtId="4" xfId="0" applyAlignment="1" applyBorder="1" applyFont="1" applyNumberFormat="1">
      <alignment readingOrder="0" vertical="bottom"/>
    </xf>
    <xf borderId="7" fillId="2" fontId="2" numFmtId="4" xfId="0" applyAlignment="1" applyBorder="1" applyFont="1" applyNumberFormat="1">
      <alignment vertical="bottom"/>
    </xf>
    <xf borderId="6" fillId="2" fontId="3" numFmtId="4" xfId="0" applyAlignment="1" applyBorder="1" applyFont="1" applyNumberFormat="1">
      <alignment horizontal="right" readingOrder="0" vertical="bottom"/>
    </xf>
    <xf borderId="11" fillId="2" fontId="2" numFmtId="4" xfId="0" applyAlignment="1" applyBorder="1" applyFont="1" applyNumberFormat="1">
      <alignment vertical="bottom"/>
    </xf>
    <xf borderId="2" fillId="2" fontId="2" numFmtId="4" xfId="0" applyAlignment="1" applyBorder="1" applyFont="1" applyNumberFormat="1">
      <alignment horizontal="right" readingOrder="0" vertical="bottom"/>
    </xf>
    <xf borderId="7" fillId="2" fontId="2" numFmtId="4" xfId="0" applyAlignment="1" applyBorder="1" applyFont="1" applyNumberFormat="1">
      <alignment readingOrder="0" vertical="bottom"/>
    </xf>
    <xf borderId="12" fillId="2" fontId="2" numFmtId="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3"/>
      <c r="B3" s="4">
        <v>2024.0</v>
      </c>
      <c r="C3" s="4">
        <v>2024.0</v>
      </c>
      <c r="D3" s="4">
        <v>2024.0</v>
      </c>
      <c r="E3" s="4">
        <v>2024.0</v>
      </c>
      <c r="F3" s="4">
        <v>2024.0</v>
      </c>
      <c r="G3" s="4">
        <v>2024.0</v>
      </c>
      <c r="H3" s="4">
        <v>2024.0</v>
      </c>
      <c r="I3" s="4">
        <v>2024.0</v>
      </c>
      <c r="J3" s="4">
        <v>2024.0</v>
      </c>
      <c r="K3" s="4">
        <v>2024.0</v>
      </c>
      <c r="L3" s="4">
        <v>2024.0</v>
      </c>
      <c r="M3" s="4">
        <v>2024.0</v>
      </c>
      <c r="N3" s="2"/>
      <c r="O3" s="5"/>
      <c r="P3" s="5"/>
      <c r="Q3" s="5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8"/>
      <c r="O4" s="5"/>
      <c r="P4" s="5"/>
      <c r="Q4" s="5"/>
      <c r="R4" s="9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0" t="s">
        <v>14</v>
      </c>
      <c r="B5" s="11"/>
      <c r="C5" s="11"/>
      <c r="D5" s="11"/>
      <c r="E5" s="11"/>
      <c r="F5" s="11"/>
      <c r="G5" s="11"/>
      <c r="H5" s="12"/>
      <c r="I5" s="12"/>
      <c r="J5" s="12"/>
      <c r="K5" s="13">
        <v>1926.0</v>
      </c>
      <c r="L5" s="13">
        <v>389609.0</v>
      </c>
      <c r="M5" s="13">
        <v>520350.0</v>
      </c>
      <c r="N5" s="14">
        <f t="shared" ref="N5:N7" si="1">SUM(B5:M5)</f>
        <v>911885</v>
      </c>
      <c r="O5" s="5"/>
      <c r="P5" s="5"/>
      <c r="Q5" s="5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5" t="s">
        <v>15</v>
      </c>
      <c r="B6" s="16">
        <v>0.0</v>
      </c>
      <c r="C6" s="16">
        <v>0.0</v>
      </c>
      <c r="D6" s="16">
        <v>0.0</v>
      </c>
      <c r="E6" s="16">
        <v>0.0</v>
      </c>
      <c r="F6" s="16">
        <v>0.0</v>
      </c>
      <c r="G6" s="16">
        <v>0.0</v>
      </c>
      <c r="H6" s="16"/>
      <c r="I6" s="16"/>
      <c r="J6" s="16"/>
      <c r="K6" s="16"/>
      <c r="L6" s="17">
        <v>876.21</v>
      </c>
      <c r="M6" s="17">
        <v>2126.0</v>
      </c>
      <c r="N6" s="14">
        <f t="shared" si="1"/>
        <v>3002.21</v>
      </c>
      <c r="O6" s="5"/>
      <c r="P6" s="5"/>
      <c r="Q6" s="5"/>
      <c r="R6" s="9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8" t="s">
        <v>16</v>
      </c>
      <c r="B7" s="19">
        <f t="shared" ref="B7:M7" si="2">B5-B6</f>
        <v>0</v>
      </c>
      <c r="C7" s="19">
        <f t="shared" si="2"/>
        <v>0</v>
      </c>
      <c r="D7" s="19">
        <f t="shared" si="2"/>
        <v>0</v>
      </c>
      <c r="E7" s="19">
        <f t="shared" si="2"/>
        <v>0</v>
      </c>
      <c r="F7" s="19">
        <f t="shared" si="2"/>
        <v>0</v>
      </c>
      <c r="G7" s="19">
        <f t="shared" si="2"/>
        <v>0</v>
      </c>
      <c r="H7" s="19">
        <f t="shared" si="2"/>
        <v>0</v>
      </c>
      <c r="I7" s="19">
        <f t="shared" si="2"/>
        <v>0</v>
      </c>
      <c r="J7" s="19">
        <f t="shared" si="2"/>
        <v>0</v>
      </c>
      <c r="K7" s="19">
        <f t="shared" si="2"/>
        <v>1926</v>
      </c>
      <c r="L7" s="19">
        <f t="shared" si="2"/>
        <v>388732.79</v>
      </c>
      <c r="M7" s="19">
        <f t="shared" si="2"/>
        <v>518224</v>
      </c>
      <c r="N7" s="14">
        <f t="shared" si="1"/>
        <v>908882.79</v>
      </c>
      <c r="O7" s="5"/>
      <c r="P7" s="5"/>
      <c r="Q7" s="5"/>
      <c r="R7" s="9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1"/>
      <c r="L8" s="20"/>
      <c r="M8" s="20"/>
      <c r="N8" s="22"/>
      <c r="O8" s="5"/>
      <c r="P8" s="5"/>
      <c r="Q8" s="5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3"/>
      <c r="B9" s="4">
        <v>2024.0</v>
      </c>
      <c r="C9" s="4">
        <v>2024.0</v>
      </c>
      <c r="D9" s="4">
        <v>2024.0</v>
      </c>
      <c r="E9" s="4">
        <v>2024.0</v>
      </c>
      <c r="F9" s="4">
        <v>2024.0</v>
      </c>
      <c r="G9" s="4">
        <v>2024.0</v>
      </c>
      <c r="H9" s="4">
        <v>2024.0</v>
      </c>
      <c r="I9" s="4">
        <v>2024.0</v>
      </c>
      <c r="J9" s="4">
        <v>2024.0</v>
      </c>
      <c r="K9" s="4">
        <v>2024.0</v>
      </c>
      <c r="L9" s="4">
        <v>2024.0</v>
      </c>
      <c r="M9" s="4">
        <v>2024.0</v>
      </c>
      <c r="N9" s="23"/>
      <c r="O9" s="5"/>
      <c r="P9" s="5"/>
      <c r="Q9" s="5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6" t="s">
        <v>17</v>
      </c>
      <c r="B10" s="7" t="s">
        <v>2</v>
      </c>
      <c r="C10" s="7" t="s">
        <v>3</v>
      </c>
      <c r="D10" s="7" t="s">
        <v>4</v>
      </c>
      <c r="E10" s="7" t="s">
        <v>5</v>
      </c>
      <c r="F10" s="7" t="s">
        <v>6</v>
      </c>
      <c r="G10" s="7" t="s">
        <v>7</v>
      </c>
      <c r="H10" s="7" t="s">
        <v>8</v>
      </c>
      <c r="I10" s="7" t="s">
        <v>9</v>
      </c>
      <c r="J10" s="7" t="s">
        <v>10</v>
      </c>
      <c r="K10" s="7" t="s">
        <v>11</v>
      </c>
      <c r="L10" s="7" t="s">
        <v>12</v>
      </c>
      <c r="M10" s="7" t="s">
        <v>13</v>
      </c>
      <c r="N10" s="8"/>
      <c r="O10" s="5"/>
      <c r="P10" s="5"/>
      <c r="Q10" s="5"/>
      <c r="R10" s="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4" t="s">
        <v>18</v>
      </c>
      <c r="B11" s="25"/>
      <c r="C11" s="25"/>
      <c r="D11" s="25"/>
      <c r="E11" s="25"/>
      <c r="F11" s="25"/>
      <c r="G11" s="25"/>
      <c r="H11" s="26"/>
      <c r="I11" s="26"/>
      <c r="J11" s="26"/>
      <c r="K11" s="27">
        <v>638.32</v>
      </c>
      <c r="L11" s="27">
        <v>70129.62</v>
      </c>
      <c r="M11" s="27">
        <v>93663.0</v>
      </c>
      <c r="N11" s="14">
        <f t="shared" ref="N11:N12" si="4">SUM(B11:M11)</f>
        <v>164430.94</v>
      </c>
      <c r="O11" s="5"/>
      <c r="P11" s="5"/>
      <c r="Q11" s="5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18" t="s">
        <v>19</v>
      </c>
      <c r="B12" s="28">
        <f t="shared" ref="B12:M12" si="3">B7-B11</f>
        <v>0</v>
      </c>
      <c r="C12" s="28">
        <f t="shared" si="3"/>
        <v>0</v>
      </c>
      <c r="D12" s="28">
        <f t="shared" si="3"/>
        <v>0</v>
      </c>
      <c r="E12" s="28">
        <f t="shared" si="3"/>
        <v>0</v>
      </c>
      <c r="F12" s="28">
        <f t="shared" si="3"/>
        <v>0</v>
      </c>
      <c r="G12" s="28">
        <f t="shared" si="3"/>
        <v>0</v>
      </c>
      <c r="H12" s="28">
        <f t="shared" si="3"/>
        <v>0</v>
      </c>
      <c r="I12" s="28">
        <f t="shared" si="3"/>
        <v>0</v>
      </c>
      <c r="J12" s="28">
        <f t="shared" si="3"/>
        <v>0</v>
      </c>
      <c r="K12" s="28">
        <f t="shared" si="3"/>
        <v>1287.68</v>
      </c>
      <c r="L12" s="28">
        <f t="shared" si="3"/>
        <v>318603.17</v>
      </c>
      <c r="M12" s="28">
        <f t="shared" si="3"/>
        <v>424561</v>
      </c>
      <c r="N12" s="14">
        <f t="shared" si="4"/>
        <v>744451.85</v>
      </c>
      <c r="O12" s="5"/>
      <c r="P12" s="5"/>
      <c r="Q12" s="5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2"/>
      <c r="O13" s="5"/>
      <c r="P13" s="5"/>
      <c r="Q13" s="5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3"/>
      <c r="B14" s="4">
        <v>2024.0</v>
      </c>
      <c r="C14" s="4">
        <v>2024.0</v>
      </c>
      <c r="D14" s="4">
        <v>2024.0</v>
      </c>
      <c r="E14" s="4">
        <v>2024.0</v>
      </c>
      <c r="F14" s="4">
        <v>2024.0</v>
      </c>
      <c r="G14" s="4">
        <v>2024.0</v>
      </c>
      <c r="H14" s="4">
        <v>2024.0</v>
      </c>
      <c r="I14" s="4">
        <v>2024.0</v>
      </c>
      <c r="J14" s="4">
        <v>2024.0</v>
      </c>
      <c r="K14" s="4">
        <v>2024.0</v>
      </c>
      <c r="L14" s="4">
        <v>2024.0</v>
      </c>
      <c r="M14" s="4">
        <v>2024.0</v>
      </c>
      <c r="N14" s="23"/>
      <c r="O14" s="5"/>
      <c r="P14" s="5"/>
      <c r="Q14" s="5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6" t="s">
        <v>20</v>
      </c>
      <c r="B15" s="7" t="s">
        <v>2</v>
      </c>
      <c r="C15" s="7" t="s">
        <v>3</v>
      </c>
      <c r="D15" s="7" t="s">
        <v>4</v>
      </c>
      <c r="E15" s="7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7" t="s">
        <v>10</v>
      </c>
      <c r="K15" s="7" t="s">
        <v>11</v>
      </c>
      <c r="L15" s="7" t="s">
        <v>12</v>
      </c>
      <c r="M15" s="7" t="s">
        <v>13</v>
      </c>
      <c r="N15" s="8"/>
      <c r="O15" s="5"/>
      <c r="P15" s="5"/>
      <c r="Q15" s="5"/>
      <c r="R15" s="9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10" t="s">
        <v>21</v>
      </c>
      <c r="B16" s="29"/>
      <c r="C16" s="29"/>
      <c r="D16" s="29"/>
      <c r="E16" s="29"/>
      <c r="F16" s="29"/>
      <c r="G16" s="29"/>
      <c r="H16" s="29"/>
      <c r="I16" s="29"/>
      <c r="J16" s="29"/>
      <c r="K16" s="30"/>
      <c r="L16" s="29"/>
      <c r="M16" s="31"/>
      <c r="N16" s="32"/>
      <c r="O16" s="5"/>
      <c r="P16" s="5"/>
      <c r="Q16" s="5"/>
      <c r="R16" s="9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33" t="s">
        <v>22</v>
      </c>
      <c r="B17" s="34"/>
      <c r="C17" s="34"/>
      <c r="D17" s="34"/>
      <c r="E17" s="34"/>
      <c r="F17" s="34"/>
      <c r="G17" s="34"/>
      <c r="H17" s="34"/>
      <c r="I17" s="35"/>
      <c r="J17" s="36"/>
      <c r="K17" s="37"/>
      <c r="L17" s="38">
        <v>386.0</v>
      </c>
      <c r="M17" s="39">
        <v>10672.0</v>
      </c>
      <c r="N17" s="40">
        <f t="shared" ref="N17:N18" si="5">SUM(B17:M17)</f>
        <v>11058</v>
      </c>
      <c r="O17" s="5"/>
      <c r="P17" s="5"/>
      <c r="Q17" s="5"/>
      <c r="R17" s="9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33" t="s">
        <v>23</v>
      </c>
      <c r="B18" s="34"/>
      <c r="C18" s="34"/>
      <c r="D18" s="34"/>
      <c r="E18" s="34"/>
      <c r="F18" s="34"/>
      <c r="G18" s="34"/>
      <c r="H18" s="41"/>
      <c r="I18" s="41"/>
      <c r="J18" s="42"/>
      <c r="K18" s="43">
        <v>1346.0</v>
      </c>
      <c r="L18" s="44">
        <v>191857.0</v>
      </c>
      <c r="M18" s="45">
        <v>247218.0</v>
      </c>
      <c r="N18" s="40">
        <f t="shared" si="5"/>
        <v>440421</v>
      </c>
      <c r="O18" s="5"/>
      <c r="P18" s="5"/>
      <c r="Q18" s="5"/>
      <c r="R18" s="9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33" t="s">
        <v>24</v>
      </c>
      <c r="B19" s="34"/>
      <c r="C19" s="34"/>
      <c r="D19" s="34"/>
      <c r="E19" s="34"/>
      <c r="F19" s="34"/>
      <c r="G19" s="34"/>
      <c r="H19" s="34"/>
      <c r="I19" s="34"/>
      <c r="J19" s="34"/>
      <c r="K19" s="29"/>
      <c r="L19" s="34"/>
      <c r="M19" s="46"/>
      <c r="N19" s="47"/>
      <c r="O19" s="5"/>
      <c r="P19" s="5"/>
      <c r="Q19" s="5"/>
      <c r="R19" s="9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33" t="s">
        <v>25</v>
      </c>
      <c r="B20" s="34"/>
      <c r="C20" s="34"/>
      <c r="D20" s="34"/>
      <c r="E20" s="34"/>
      <c r="F20" s="34"/>
      <c r="G20" s="34"/>
      <c r="H20" s="48"/>
      <c r="I20" s="34"/>
      <c r="J20" s="34"/>
      <c r="K20" s="49"/>
      <c r="L20" s="34"/>
      <c r="M20" s="46"/>
      <c r="N20" s="47"/>
      <c r="O20" s="5"/>
      <c r="P20" s="5"/>
      <c r="Q20" s="5"/>
      <c r="R20" s="9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33" t="s">
        <v>26</v>
      </c>
      <c r="B21" s="34"/>
      <c r="C21" s="34"/>
      <c r="D21" s="5"/>
      <c r="E21" s="2"/>
      <c r="F21" s="34"/>
      <c r="G21" s="46"/>
      <c r="H21" s="50"/>
      <c r="I21" s="51"/>
      <c r="J21" s="42"/>
      <c r="K21" s="43">
        <v>132.89</v>
      </c>
      <c r="L21" s="44">
        <v>15584.36</v>
      </c>
      <c r="M21" s="44">
        <v>20814.0</v>
      </c>
      <c r="N21" s="40">
        <f t="shared" ref="N21:N22" si="6">SUM(B21:M21)</f>
        <v>36531.25</v>
      </c>
      <c r="O21" s="5"/>
      <c r="P21" s="5"/>
      <c r="Q21" s="5"/>
      <c r="R21" s="9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33" t="s">
        <v>27</v>
      </c>
      <c r="B22" s="34"/>
      <c r="C22" s="34"/>
      <c r="D22" s="34"/>
      <c r="E22" s="34"/>
      <c r="F22" s="34"/>
      <c r="G22" s="34"/>
      <c r="H22" s="52"/>
      <c r="I22" s="41"/>
      <c r="J22" s="42"/>
      <c r="K22" s="43">
        <v>66.68</v>
      </c>
      <c r="L22" s="53">
        <v>402.3</v>
      </c>
      <c r="M22" s="54">
        <v>388.89</v>
      </c>
      <c r="N22" s="40">
        <f t="shared" si="6"/>
        <v>857.87</v>
      </c>
      <c r="O22" s="5"/>
      <c r="P22" s="5"/>
      <c r="Q22" s="5"/>
      <c r="R22" s="9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33" t="s">
        <v>28</v>
      </c>
      <c r="B23" s="34"/>
      <c r="C23" s="34"/>
      <c r="D23" s="34"/>
      <c r="E23" s="34"/>
      <c r="F23" s="34"/>
      <c r="G23" s="34"/>
      <c r="H23" s="34"/>
      <c r="I23" s="34"/>
      <c r="J23" s="46"/>
      <c r="K23" s="49"/>
      <c r="L23" s="55"/>
      <c r="M23" s="31"/>
      <c r="N23" s="32"/>
      <c r="O23" s="5"/>
      <c r="P23" s="5"/>
      <c r="Q23" s="5"/>
      <c r="R23" s="9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33" t="s">
        <v>29</v>
      </c>
      <c r="B24" s="34"/>
      <c r="C24" s="34"/>
      <c r="D24" s="34"/>
      <c r="E24" s="34"/>
      <c r="F24" s="34"/>
      <c r="G24" s="34"/>
      <c r="H24" s="34"/>
      <c r="I24" s="34"/>
      <c r="J24" s="46"/>
      <c r="K24" s="49"/>
      <c r="L24" s="55"/>
      <c r="M24" s="46"/>
      <c r="N24" s="47"/>
      <c r="O24" s="5"/>
      <c r="P24" s="5"/>
      <c r="Q24" s="5"/>
      <c r="R24" s="9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33" t="s">
        <v>30</v>
      </c>
      <c r="B25" s="34"/>
      <c r="C25" s="34"/>
      <c r="D25" s="34"/>
      <c r="E25" s="34"/>
      <c r="F25" s="34"/>
      <c r="G25" s="34"/>
      <c r="H25" s="41"/>
      <c r="I25" s="41"/>
      <c r="J25" s="41"/>
      <c r="K25" s="41"/>
      <c r="L25" s="56">
        <v>300.0</v>
      </c>
      <c r="M25" s="56">
        <v>300.0</v>
      </c>
      <c r="N25" s="47"/>
      <c r="O25" s="5"/>
      <c r="P25" s="5"/>
      <c r="Q25" s="5"/>
      <c r="R25" s="9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33" t="s">
        <v>31</v>
      </c>
      <c r="B26" s="34"/>
      <c r="C26" s="34"/>
      <c r="D26" s="34"/>
      <c r="E26" s="34"/>
      <c r="F26" s="34"/>
      <c r="G26" s="34"/>
      <c r="H26" s="34"/>
      <c r="I26" s="34"/>
      <c r="J26" s="34"/>
      <c r="K26" s="30"/>
      <c r="L26" s="34"/>
      <c r="M26" s="46"/>
      <c r="N26" s="47"/>
      <c r="O26" s="5"/>
      <c r="P26" s="5"/>
      <c r="Q26" s="5"/>
      <c r="R26" s="9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15" t="s">
        <v>32</v>
      </c>
      <c r="B27" s="48"/>
      <c r="C27" s="48"/>
      <c r="D27" s="48"/>
      <c r="E27" s="48"/>
      <c r="F27" s="48"/>
      <c r="G27" s="48"/>
      <c r="H27" s="57"/>
      <c r="I27" s="57"/>
      <c r="J27" s="58"/>
      <c r="K27" s="37"/>
      <c r="L27" s="59">
        <v>0.0</v>
      </c>
      <c r="M27" s="60">
        <v>459.99</v>
      </c>
      <c r="N27" s="61"/>
      <c r="O27" s="5"/>
      <c r="P27" s="5"/>
      <c r="Q27" s="5"/>
      <c r="R27" s="9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18" t="s">
        <v>33</v>
      </c>
      <c r="B28" s="28">
        <f t="shared" ref="B28:M28" si="7">SUM(B16:B27)</f>
        <v>0</v>
      </c>
      <c r="C28" s="28">
        <f t="shared" si="7"/>
        <v>0</v>
      </c>
      <c r="D28" s="28">
        <f t="shared" si="7"/>
        <v>0</v>
      </c>
      <c r="E28" s="28">
        <f t="shared" si="7"/>
        <v>0</v>
      </c>
      <c r="F28" s="28">
        <f t="shared" si="7"/>
        <v>0</v>
      </c>
      <c r="G28" s="28">
        <f t="shared" si="7"/>
        <v>0</v>
      </c>
      <c r="H28" s="28">
        <f t="shared" si="7"/>
        <v>0</v>
      </c>
      <c r="I28" s="28">
        <f t="shared" si="7"/>
        <v>0</v>
      </c>
      <c r="J28" s="28">
        <f t="shared" si="7"/>
        <v>0</v>
      </c>
      <c r="K28" s="28">
        <f t="shared" si="7"/>
        <v>1545.57</v>
      </c>
      <c r="L28" s="28">
        <f t="shared" si="7"/>
        <v>208529.66</v>
      </c>
      <c r="M28" s="28">
        <f t="shared" si="7"/>
        <v>279852.88</v>
      </c>
      <c r="N28" s="14">
        <f>SUM(B28:M28)</f>
        <v>489928.11</v>
      </c>
      <c r="O28" s="5"/>
      <c r="P28" s="5"/>
      <c r="Q28" s="5"/>
      <c r="R28" s="9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62"/>
      <c r="B29" s="62"/>
      <c r="C29" s="62"/>
      <c r="D29" s="63"/>
      <c r="E29" s="64"/>
      <c r="F29" s="64"/>
      <c r="G29" s="64"/>
      <c r="H29" s="64"/>
      <c r="I29" s="64"/>
      <c r="J29" s="65"/>
      <c r="K29" s="62"/>
      <c r="L29" s="62"/>
      <c r="M29" s="62"/>
      <c r="N29" s="66"/>
      <c r="O29" s="5"/>
      <c r="P29" s="5"/>
      <c r="Q29" s="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6" t="s">
        <v>34</v>
      </c>
      <c r="B30" s="7" t="s">
        <v>2</v>
      </c>
      <c r="C30" s="7" t="s">
        <v>3</v>
      </c>
      <c r="D30" s="7" t="s">
        <v>4</v>
      </c>
      <c r="E30" s="7" t="s">
        <v>5</v>
      </c>
      <c r="F30" s="7" t="s">
        <v>6</v>
      </c>
      <c r="G30" s="7" t="s">
        <v>7</v>
      </c>
      <c r="H30" s="7" t="s">
        <v>8</v>
      </c>
      <c r="I30" s="7" t="s">
        <v>9</v>
      </c>
      <c r="J30" s="7" t="s">
        <v>10</v>
      </c>
      <c r="K30" s="7" t="s">
        <v>11</v>
      </c>
      <c r="L30" s="7" t="s">
        <v>12</v>
      </c>
      <c r="M30" s="7" t="s">
        <v>13</v>
      </c>
      <c r="N30" s="8"/>
      <c r="O30" s="5"/>
      <c r="P30" s="5"/>
      <c r="Q30" s="5"/>
      <c r="R30" s="9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18" t="s">
        <v>35</v>
      </c>
      <c r="B31" s="28">
        <f t="shared" ref="B31:M31" si="8">B7-B11-B28</f>
        <v>0</v>
      </c>
      <c r="C31" s="28">
        <f t="shared" si="8"/>
        <v>0</v>
      </c>
      <c r="D31" s="28">
        <f t="shared" si="8"/>
        <v>0</v>
      </c>
      <c r="E31" s="28">
        <f t="shared" si="8"/>
        <v>0</v>
      </c>
      <c r="F31" s="28">
        <f t="shared" si="8"/>
        <v>0</v>
      </c>
      <c r="G31" s="28">
        <f t="shared" si="8"/>
        <v>0</v>
      </c>
      <c r="H31" s="28">
        <f t="shared" si="8"/>
        <v>0</v>
      </c>
      <c r="I31" s="28">
        <f t="shared" si="8"/>
        <v>0</v>
      </c>
      <c r="J31" s="28">
        <f t="shared" si="8"/>
        <v>0</v>
      </c>
      <c r="K31" s="28">
        <f t="shared" si="8"/>
        <v>-257.89</v>
      </c>
      <c r="L31" s="28">
        <f t="shared" si="8"/>
        <v>110073.51</v>
      </c>
      <c r="M31" s="28">
        <f t="shared" si="8"/>
        <v>144708.12</v>
      </c>
      <c r="N31" s="14">
        <f>SUM(B31:M31)</f>
        <v>254523.74</v>
      </c>
      <c r="O31" s="5"/>
      <c r="P31" s="5"/>
      <c r="Q31" s="5"/>
      <c r="R31" s="9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0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5"/>
      <c r="P32" s="5"/>
      <c r="Q32" s="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68"/>
      <c r="B33" s="69"/>
      <c r="C33" s="70"/>
      <c r="D33" s="70"/>
      <c r="E33" s="70"/>
      <c r="F33" s="70"/>
      <c r="G33" s="70"/>
      <c r="H33" s="70"/>
      <c r="I33" s="71"/>
      <c r="J33" s="71"/>
      <c r="K33" s="71"/>
      <c r="L33" s="71"/>
      <c r="M33" s="71"/>
      <c r="N33" s="2"/>
      <c r="O33" s="71"/>
      <c r="P33" s="71"/>
      <c r="Q33" s="7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68"/>
      <c r="B34" s="69"/>
      <c r="C34" s="72"/>
      <c r="D34" s="72"/>
      <c r="E34" s="72"/>
      <c r="F34" s="72"/>
      <c r="G34" s="72"/>
      <c r="H34" s="72"/>
      <c r="I34" s="71"/>
      <c r="J34" s="71"/>
      <c r="K34" s="71"/>
      <c r="L34" s="71"/>
      <c r="M34" s="71"/>
      <c r="N34" s="71"/>
      <c r="O34" s="71"/>
      <c r="P34" s="71"/>
      <c r="Q34" s="7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73"/>
      <c r="B35" s="73"/>
      <c r="C35" s="73"/>
      <c r="D35" s="73"/>
      <c r="E35" s="73"/>
      <c r="F35" s="73"/>
      <c r="G35" s="73"/>
      <c r="H35" s="7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74" t="s">
        <v>36</v>
      </c>
      <c r="B37" s="7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76"/>
      <c r="B38" s="77"/>
      <c r="C38" s="70"/>
      <c r="D38" s="70"/>
      <c r="E38" s="70"/>
      <c r="F38" s="70"/>
      <c r="G38" s="70"/>
      <c r="H38" s="7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78"/>
      <c r="B39" s="7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78"/>
      <c r="B40" s="7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78"/>
      <c r="B41" s="7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78"/>
      <c r="B42" s="7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7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63"/>
      <c r="B48" s="7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63"/>
      <c r="B49" s="8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6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63"/>
      <c r="B51" s="25"/>
      <c r="C51" s="9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63"/>
      <c r="B52" s="81"/>
      <c r="C52" s="9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0"/>
      <c r="B53" s="2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82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82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82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82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82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82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82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82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82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82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82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82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82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82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82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82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82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82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82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82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82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82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82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82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82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82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82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82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82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82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82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82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82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82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82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82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82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82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82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82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82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82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82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82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82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82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82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82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82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82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82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82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82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82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82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82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82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82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82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82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82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82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82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82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82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82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82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82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82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82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82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82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82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82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82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82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82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82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82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82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82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82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82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82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82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82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82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82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82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82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82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82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82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82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82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82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82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82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82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82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82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82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82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82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82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82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82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82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82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82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82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82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82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82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82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82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82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82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82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82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82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82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82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82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82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82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82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82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82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82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82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82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82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82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82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82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82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82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82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82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82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82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82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82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82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82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82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82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82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82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82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82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82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82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82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82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82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82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82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82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82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82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82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82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82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82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82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82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82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82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82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82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82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82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82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82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82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82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82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82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82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82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82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82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82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82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82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82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82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82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82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82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82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82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82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82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82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82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82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82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82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82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82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82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82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82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82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82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82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82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82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82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82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82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82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82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82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82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82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82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82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82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82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82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82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82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82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82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82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82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82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82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82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82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82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82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82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82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82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82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82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82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82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82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82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82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82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82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82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82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82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82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82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82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82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82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82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82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82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82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82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82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82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82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82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82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82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82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82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82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82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82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82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82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82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82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82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82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82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82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82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82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82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82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82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82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82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82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82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82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82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82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82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82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82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82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82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82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82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82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82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82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82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82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82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82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82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82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82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82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82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82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82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82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82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82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82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82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82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82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82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82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82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82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82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82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82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82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82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82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82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82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82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82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82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82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82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82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82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82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82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82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82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82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82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82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82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82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82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82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82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82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82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82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82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82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82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82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82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82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82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82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82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82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82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82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82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82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82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82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82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82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82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82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82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82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82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82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82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82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82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82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82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82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82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82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82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82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82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82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82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82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82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82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82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82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82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82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82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82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82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82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82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82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82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82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82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82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82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82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82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82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82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82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82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82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82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82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82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82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82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82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82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82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82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82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82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82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82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82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82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82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82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82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82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82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82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82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82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82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82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82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82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82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82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82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82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82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82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82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82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82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82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82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82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82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82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82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82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82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82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82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82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82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82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82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82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82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82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82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82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82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82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82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82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82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82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82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82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82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82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82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82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82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82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82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82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82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82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82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82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82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82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82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82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82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82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82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82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82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82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82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82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82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82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82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82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82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82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82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82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82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82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82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82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82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82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82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82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82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82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82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82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82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82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82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82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82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82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82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82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82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82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82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82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82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82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82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82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82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82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82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82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82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82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82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82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82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82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82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82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82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82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82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82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82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82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82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82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82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82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82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82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82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82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82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82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82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82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82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82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82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82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82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82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82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82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82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82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82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82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82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82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82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82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82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82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82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82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82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82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82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82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82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82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82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82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82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82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82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82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82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82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82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82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82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82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82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82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82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82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82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82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82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82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82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82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82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82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82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82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82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82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82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82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82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82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82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82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82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82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82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82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82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82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82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82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82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82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82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82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82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82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82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82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82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82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82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82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82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82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82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82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82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82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82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82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82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82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82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82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82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82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82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82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82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82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82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82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82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82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82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82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82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82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82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82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82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82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82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82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82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82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82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82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82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82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82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82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82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82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82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82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82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82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82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82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82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82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82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82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82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82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82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82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82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82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82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82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82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82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82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82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82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82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82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82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82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82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82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82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82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82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82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82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82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82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82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82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82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82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82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82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82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82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82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82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82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82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82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82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82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82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82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82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82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82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82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82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82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82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82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82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82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82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82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82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82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82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82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82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</sheetData>
  <mergeCells count="1">
    <mergeCell ref="A37:B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3"/>
      <c r="B3" s="4">
        <v>2025.0</v>
      </c>
      <c r="C3" s="4">
        <v>2025.0</v>
      </c>
      <c r="D3" s="4">
        <v>2025.0</v>
      </c>
      <c r="E3" s="4">
        <v>2025.0</v>
      </c>
      <c r="F3" s="4">
        <v>2025.0</v>
      </c>
      <c r="G3" s="4">
        <v>2025.0</v>
      </c>
      <c r="H3" s="4">
        <v>2025.0</v>
      </c>
      <c r="I3" s="4">
        <v>2025.0</v>
      </c>
      <c r="J3" s="4">
        <v>2025.0</v>
      </c>
      <c r="K3" s="4">
        <v>2025.0</v>
      </c>
      <c r="L3" s="4">
        <v>2025.0</v>
      </c>
      <c r="M3" s="4">
        <v>2025.0</v>
      </c>
      <c r="N3" s="2"/>
      <c r="O3" s="5"/>
      <c r="P3" s="5"/>
      <c r="Q3" s="5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8"/>
      <c r="O4" s="5"/>
      <c r="P4" s="5"/>
      <c r="Q4" s="5"/>
      <c r="R4" s="9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0" t="s">
        <v>14</v>
      </c>
      <c r="B5" s="13">
        <v>82828.0</v>
      </c>
      <c r="C5" s="13">
        <v>280104.0</v>
      </c>
      <c r="D5" s="13">
        <v>403306.0</v>
      </c>
      <c r="E5" s="13">
        <v>711086.0</v>
      </c>
      <c r="F5" s="13">
        <v>390947.0</v>
      </c>
      <c r="G5" s="13">
        <v>254313.0</v>
      </c>
      <c r="H5" s="13">
        <v>315418.0</v>
      </c>
      <c r="I5" s="13">
        <v>262832.0</v>
      </c>
      <c r="J5" s="83">
        <v>190847.0</v>
      </c>
      <c r="K5" s="83">
        <v>172427.0</v>
      </c>
      <c r="L5" s="83">
        <v>115161.0</v>
      </c>
      <c r="M5" s="83">
        <v>246722.0</v>
      </c>
      <c r="N5" s="84"/>
      <c r="O5" s="5"/>
      <c r="P5" s="5"/>
      <c r="Q5" s="5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5" t="s">
        <v>15</v>
      </c>
      <c r="B6" s="17">
        <v>1347.0</v>
      </c>
      <c r="C6" s="17">
        <v>666.7</v>
      </c>
      <c r="D6" s="17">
        <v>893.26</v>
      </c>
      <c r="E6" s="17">
        <v>1440.0</v>
      </c>
      <c r="F6" s="17">
        <v>2873.0</v>
      </c>
      <c r="G6" s="17">
        <v>1188.0</v>
      </c>
      <c r="H6" s="17">
        <v>1525.0</v>
      </c>
      <c r="I6" s="17">
        <v>1398.0</v>
      </c>
      <c r="J6" s="17">
        <v>1896.54</v>
      </c>
      <c r="K6" s="17">
        <v>261.83</v>
      </c>
      <c r="L6" s="17">
        <v>452.03</v>
      </c>
      <c r="M6" s="17">
        <v>508.83</v>
      </c>
      <c r="N6" s="84"/>
      <c r="O6" s="5"/>
      <c r="P6" s="5"/>
      <c r="Q6" s="5"/>
      <c r="R6" s="9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8" t="s">
        <v>16</v>
      </c>
      <c r="B7" s="19">
        <f t="shared" ref="B7:M7" si="1">B5-B6</f>
        <v>81481</v>
      </c>
      <c r="C7" s="19">
        <f t="shared" si="1"/>
        <v>279437.3</v>
      </c>
      <c r="D7" s="19">
        <f t="shared" si="1"/>
        <v>402412.74</v>
      </c>
      <c r="E7" s="19">
        <f t="shared" si="1"/>
        <v>709646</v>
      </c>
      <c r="F7" s="19">
        <f t="shared" si="1"/>
        <v>388074</v>
      </c>
      <c r="G7" s="19">
        <f t="shared" si="1"/>
        <v>253125</v>
      </c>
      <c r="H7" s="19">
        <f t="shared" si="1"/>
        <v>313893</v>
      </c>
      <c r="I7" s="19">
        <f t="shared" si="1"/>
        <v>261434</v>
      </c>
      <c r="J7" s="19">
        <f t="shared" si="1"/>
        <v>188950.46</v>
      </c>
      <c r="K7" s="19">
        <f t="shared" si="1"/>
        <v>172165.17</v>
      </c>
      <c r="L7" s="19">
        <f t="shared" si="1"/>
        <v>114708.97</v>
      </c>
      <c r="M7" s="19">
        <f t="shared" si="1"/>
        <v>246213.17</v>
      </c>
      <c r="N7" s="85">
        <f>SUM(B7:M7)</f>
        <v>3411540.81</v>
      </c>
      <c r="O7" s="5"/>
      <c r="P7" s="5"/>
      <c r="Q7" s="5"/>
      <c r="R7" s="9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2"/>
      <c r="O8" s="5"/>
      <c r="P8" s="5"/>
      <c r="Q8" s="5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3"/>
      <c r="B9" s="4">
        <v>2025.0</v>
      </c>
      <c r="C9" s="4">
        <v>2025.0</v>
      </c>
      <c r="D9" s="4">
        <v>2025.0</v>
      </c>
      <c r="E9" s="4">
        <v>2025.0</v>
      </c>
      <c r="F9" s="4">
        <v>2025.0</v>
      </c>
      <c r="G9" s="4">
        <v>2025.0</v>
      </c>
      <c r="H9" s="4">
        <v>2025.0</v>
      </c>
      <c r="I9" s="4">
        <v>2025.0</v>
      </c>
      <c r="J9" s="4">
        <v>2025.0</v>
      </c>
      <c r="K9" s="4">
        <v>2025.0</v>
      </c>
      <c r="L9" s="4">
        <v>2025.0</v>
      </c>
      <c r="M9" s="4">
        <v>2025.0</v>
      </c>
      <c r="N9" s="23"/>
      <c r="O9" s="5"/>
      <c r="P9" s="5"/>
      <c r="Q9" s="5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6" t="s">
        <v>17</v>
      </c>
      <c r="B10" s="7" t="s">
        <v>2</v>
      </c>
      <c r="C10" s="7" t="s">
        <v>3</v>
      </c>
      <c r="D10" s="7" t="s">
        <v>4</v>
      </c>
      <c r="E10" s="7" t="s">
        <v>5</v>
      </c>
      <c r="F10" s="7" t="s">
        <v>6</v>
      </c>
      <c r="G10" s="7" t="s">
        <v>7</v>
      </c>
      <c r="H10" s="7" t="s">
        <v>8</v>
      </c>
      <c r="I10" s="7" t="s">
        <v>9</v>
      </c>
      <c r="J10" s="7" t="s">
        <v>10</v>
      </c>
      <c r="K10" s="7" t="s">
        <v>11</v>
      </c>
      <c r="L10" s="7" t="s">
        <v>12</v>
      </c>
      <c r="M10" s="7" t="s">
        <v>13</v>
      </c>
      <c r="N10" s="8"/>
      <c r="O10" s="5"/>
      <c r="P10" s="5"/>
      <c r="Q10" s="5"/>
      <c r="R10" s="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4" t="s">
        <v>18</v>
      </c>
      <c r="B11" s="27">
        <v>14909.039999999999</v>
      </c>
      <c r="C11" s="27">
        <v>50418.72</v>
      </c>
      <c r="D11" s="27">
        <v>72595.08</v>
      </c>
      <c r="E11" s="27">
        <v>127995.48</v>
      </c>
      <c r="F11" s="27">
        <v>70370.45999999999</v>
      </c>
      <c r="G11" s="27">
        <v>45776.34</v>
      </c>
      <c r="H11" s="27">
        <v>56775.24</v>
      </c>
      <c r="I11" s="27">
        <v>47309.759999999995</v>
      </c>
      <c r="J11" s="86">
        <v>32173.19</v>
      </c>
      <c r="K11" s="86">
        <v>33608.0</v>
      </c>
      <c r="L11" s="86">
        <v>22898.0</v>
      </c>
      <c r="M11" s="86">
        <v>45194.0</v>
      </c>
      <c r="N11" s="84"/>
      <c r="O11" s="5"/>
      <c r="P11" s="5"/>
      <c r="Q11" s="5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18" t="s">
        <v>19</v>
      </c>
      <c r="B12" s="28">
        <f t="shared" ref="B12:M12" si="2">B7-B11</f>
        <v>66571.96</v>
      </c>
      <c r="C12" s="28">
        <f t="shared" si="2"/>
        <v>229018.58</v>
      </c>
      <c r="D12" s="28">
        <f t="shared" si="2"/>
        <v>329817.66</v>
      </c>
      <c r="E12" s="28">
        <f t="shared" si="2"/>
        <v>581650.52</v>
      </c>
      <c r="F12" s="28">
        <f t="shared" si="2"/>
        <v>317703.54</v>
      </c>
      <c r="G12" s="28">
        <f t="shared" si="2"/>
        <v>207348.66</v>
      </c>
      <c r="H12" s="28">
        <f t="shared" si="2"/>
        <v>257117.76</v>
      </c>
      <c r="I12" s="28">
        <f t="shared" si="2"/>
        <v>214124.24</v>
      </c>
      <c r="J12" s="28">
        <f t="shared" si="2"/>
        <v>156777.27</v>
      </c>
      <c r="K12" s="28">
        <f t="shared" si="2"/>
        <v>138557.17</v>
      </c>
      <c r="L12" s="28">
        <f t="shared" si="2"/>
        <v>91810.97</v>
      </c>
      <c r="M12" s="28">
        <f t="shared" si="2"/>
        <v>201019.17</v>
      </c>
      <c r="N12" s="85">
        <f>SUM(B12:M12)</f>
        <v>2791517.5</v>
      </c>
      <c r="O12" s="5"/>
      <c r="P12" s="5"/>
      <c r="Q12" s="5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2"/>
      <c r="O13" s="5"/>
      <c r="P13" s="5"/>
      <c r="Q13" s="5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3"/>
      <c r="B14" s="4">
        <v>2025.0</v>
      </c>
      <c r="C14" s="4">
        <v>2025.0</v>
      </c>
      <c r="D14" s="4">
        <v>2025.0</v>
      </c>
      <c r="E14" s="4">
        <v>2025.0</v>
      </c>
      <c r="F14" s="4">
        <v>2025.0</v>
      </c>
      <c r="G14" s="4">
        <v>2025.0</v>
      </c>
      <c r="H14" s="4">
        <v>2025.0</v>
      </c>
      <c r="I14" s="4">
        <v>2025.0</v>
      </c>
      <c r="J14" s="4">
        <v>2025.0</v>
      </c>
      <c r="K14" s="4">
        <v>2025.0</v>
      </c>
      <c r="L14" s="4">
        <v>2025.0</v>
      </c>
      <c r="M14" s="4">
        <v>2025.0</v>
      </c>
      <c r="N14" s="23"/>
      <c r="O14" s="5"/>
      <c r="P14" s="5"/>
      <c r="Q14" s="5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6" t="s">
        <v>20</v>
      </c>
      <c r="B15" s="7" t="s">
        <v>2</v>
      </c>
      <c r="C15" s="7" t="s">
        <v>3</v>
      </c>
      <c r="D15" s="7" t="s">
        <v>4</v>
      </c>
      <c r="E15" s="7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7" t="s">
        <v>10</v>
      </c>
      <c r="K15" s="7" t="s">
        <v>11</v>
      </c>
      <c r="L15" s="7" t="s">
        <v>12</v>
      </c>
      <c r="M15" s="7" t="s">
        <v>13</v>
      </c>
      <c r="N15" s="8"/>
      <c r="O15" s="5"/>
      <c r="P15" s="5"/>
      <c r="Q15" s="5"/>
      <c r="R15" s="9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10" t="s">
        <v>21</v>
      </c>
      <c r="B16" s="29"/>
      <c r="C16" s="29"/>
      <c r="D16" s="29"/>
      <c r="E16" s="29"/>
      <c r="F16" s="87"/>
      <c r="G16" s="87"/>
      <c r="H16" s="87"/>
      <c r="I16" s="29"/>
      <c r="J16" s="87"/>
      <c r="K16" s="88"/>
      <c r="L16" s="87"/>
      <c r="M16" s="89"/>
      <c r="N16" s="32"/>
      <c r="O16" s="5"/>
      <c r="P16" s="5"/>
      <c r="Q16" s="5"/>
      <c r="R16" s="9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33" t="s">
        <v>22</v>
      </c>
      <c r="B17" s="90">
        <v>3808.0</v>
      </c>
      <c r="C17" s="90">
        <v>5601.0</v>
      </c>
      <c r="D17" s="90">
        <v>17126.0</v>
      </c>
      <c r="E17" s="90">
        <v>32777.0</v>
      </c>
      <c r="F17" s="90">
        <v>28987.0</v>
      </c>
      <c r="G17" s="90">
        <v>22091.0</v>
      </c>
      <c r="H17" s="90">
        <v>34366.0</v>
      </c>
      <c r="I17" s="90">
        <v>29800.0</v>
      </c>
      <c r="J17" s="91">
        <v>21326.0</v>
      </c>
      <c r="K17" s="92">
        <v>23722.0</v>
      </c>
      <c r="L17" s="93">
        <v>14035.0</v>
      </c>
      <c r="M17" s="91">
        <v>18237.0</v>
      </c>
      <c r="N17" s="47"/>
      <c r="O17" s="5"/>
      <c r="P17" s="5"/>
      <c r="Q17" s="5"/>
      <c r="R17" s="9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33" t="s">
        <v>23</v>
      </c>
      <c r="B18" s="90">
        <v>40798.0</v>
      </c>
      <c r="C18" s="56">
        <v>132866.0</v>
      </c>
      <c r="D18" s="56">
        <v>185699.0</v>
      </c>
      <c r="E18" s="56">
        <v>346369.0</v>
      </c>
      <c r="F18" s="56">
        <v>178996.0</v>
      </c>
      <c r="G18" s="56">
        <v>117063.0</v>
      </c>
      <c r="H18" s="56">
        <v>140191.0</v>
      </c>
      <c r="I18" s="56">
        <v>122729.0</v>
      </c>
      <c r="J18" s="91">
        <v>101753.0</v>
      </c>
      <c r="K18" s="92">
        <v>86762.0</v>
      </c>
      <c r="L18" s="93">
        <v>45936.0</v>
      </c>
      <c r="M18" s="91">
        <v>111201.0</v>
      </c>
      <c r="N18" s="94"/>
      <c r="O18" s="5"/>
      <c r="P18" s="5"/>
      <c r="Q18" s="5"/>
      <c r="R18" s="9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33" t="s">
        <v>24</v>
      </c>
      <c r="B19" s="34"/>
      <c r="C19" s="34"/>
      <c r="D19" s="34"/>
      <c r="E19" s="34"/>
      <c r="F19" s="34"/>
      <c r="G19" s="34"/>
      <c r="H19" s="34"/>
      <c r="I19" s="34"/>
      <c r="J19" s="34"/>
      <c r="K19" s="29"/>
      <c r="L19" s="34"/>
      <c r="M19" s="46"/>
      <c r="N19" s="47"/>
      <c r="O19" s="5"/>
      <c r="P19" s="5"/>
      <c r="Q19" s="5"/>
      <c r="R19" s="9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33" t="s">
        <v>25</v>
      </c>
      <c r="B20" s="34"/>
      <c r="C20" s="34"/>
      <c r="D20" s="34"/>
      <c r="E20" s="34"/>
      <c r="F20" s="34"/>
      <c r="G20" s="34"/>
      <c r="H20" s="95"/>
      <c r="I20" s="96"/>
      <c r="J20" s="34"/>
      <c r="K20" s="49"/>
      <c r="L20" s="96"/>
      <c r="M20" s="91"/>
      <c r="N20" s="47"/>
      <c r="O20" s="5"/>
      <c r="P20" s="5"/>
      <c r="Q20" s="5"/>
      <c r="R20" s="9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33" t="s">
        <v>26</v>
      </c>
      <c r="B21" s="90">
        <v>3313.12</v>
      </c>
      <c r="C21" s="90">
        <v>11204.16</v>
      </c>
      <c r="D21" s="90">
        <v>16132.24</v>
      </c>
      <c r="E21" s="90">
        <v>28443.440000000002</v>
      </c>
      <c r="F21" s="90">
        <v>15637.880000000001</v>
      </c>
      <c r="G21" s="90">
        <v>10172.52</v>
      </c>
      <c r="H21" s="90">
        <v>12616.720000000001</v>
      </c>
      <c r="I21" s="90">
        <v>10513.28</v>
      </c>
      <c r="J21" s="91">
        <v>5877.62</v>
      </c>
      <c r="K21" s="92">
        <v>12468.0</v>
      </c>
      <c r="L21" s="93">
        <v>8470.0</v>
      </c>
      <c r="M21" s="97">
        <v>13850.0</v>
      </c>
      <c r="N21" s="61"/>
      <c r="O21" s="5"/>
      <c r="P21" s="5"/>
      <c r="Q21" s="5"/>
      <c r="R21" s="9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33" t="s">
        <v>27</v>
      </c>
      <c r="B22" s="56">
        <v>467.48</v>
      </c>
      <c r="C22" s="56">
        <v>422.24</v>
      </c>
      <c r="D22" s="56">
        <v>547.1</v>
      </c>
      <c r="E22" s="56">
        <v>1604.0</v>
      </c>
      <c r="F22" s="56">
        <v>1703.0</v>
      </c>
      <c r="G22" s="56">
        <v>1501.0</v>
      </c>
      <c r="H22" s="98">
        <v>1801.0</v>
      </c>
      <c r="I22" s="56">
        <v>1949.0</v>
      </c>
      <c r="J22" s="91">
        <v>1766.99</v>
      </c>
      <c r="K22" s="92">
        <v>2268.0</v>
      </c>
      <c r="L22" s="99">
        <v>2163.0</v>
      </c>
      <c r="M22" s="92">
        <v>2163.0</v>
      </c>
      <c r="N22" s="85"/>
      <c r="O22" s="5"/>
      <c r="P22" s="5"/>
      <c r="Q22" s="5"/>
      <c r="R22" s="9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33" t="s">
        <v>28</v>
      </c>
      <c r="B23" s="34"/>
      <c r="C23" s="34"/>
      <c r="D23" s="34"/>
      <c r="E23" s="34"/>
      <c r="F23" s="34"/>
      <c r="G23" s="34"/>
      <c r="H23" s="34"/>
      <c r="I23" s="34"/>
      <c r="J23" s="46"/>
      <c r="K23" s="49"/>
      <c r="L23" s="55"/>
      <c r="M23" s="31"/>
      <c r="N23" s="32"/>
      <c r="O23" s="5"/>
      <c r="P23" s="5"/>
      <c r="Q23" s="5"/>
      <c r="R23" s="9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33" t="s">
        <v>29</v>
      </c>
      <c r="B24" s="34"/>
      <c r="C24" s="34"/>
      <c r="D24" s="34"/>
      <c r="E24" s="34"/>
      <c r="F24" s="34"/>
      <c r="G24" s="34"/>
      <c r="H24" s="34"/>
      <c r="I24" s="34"/>
      <c r="J24" s="46"/>
      <c r="K24" s="49"/>
      <c r="L24" s="55"/>
      <c r="M24" s="46"/>
      <c r="N24" s="47"/>
      <c r="O24" s="5"/>
      <c r="P24" s="5"/>
      <c r="Q24" s="5"/>
      <c r="R24" s="9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33" t="s">
        <v>30</v>
      </c>
      <c r="B25" s="56">
        <v>300.0</v>
      </c>
      <c r="C25" s="56">
        <v>300.0</v>
      </c>
      <c r="D25" s="56">
        <v>300.0</v>
      </c>
      <c r="E25" s="56">
        <v>300.0</v>
      </c>
      <c r="F25" s="56">
        <v>300.0</v>
      </c>
      <c r="G25" s="56">
        <v>300.0</v>
      </c>
      <c r="H25" s="56">
        <v>300.0</v>
      </c>
      <c r="I25" s="56">
        <v>300.0</v>
      </c>
      <c r="J25" s="56">
        <v>300.0</v>
      </c>
      <c r="K25" s="56">
        <v>300.0</v>
      </c>
      <c r="L25" s="56">
        <v>300.0</v>
      </c>
      <c r="M25" s="56">
        <v>300.0</v>
      </c>
      <c r="N25" s="47"/>
      <c r="O25" s="5"/>
      <c r="P25" s="5"/>
      <c r="Q25" s="5"/>
      <c r="R25" s="9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33" t="s">
        <v>31</v>
      </c>
      <c r="B26" s="34"/>
      <c r="C26" s="34"/>
      <c r="D26" s="34"/>
      <c r="E26" s="34"/>
      <c r="F26" s="34"/>
      <c r="G26" s="34"/>
      <c r="H26" s="34"/>
      <c r="I26" s="34"/>
      <c r="J26" s="34"/>
      <c r="K26" s="30"/>
      <c r="L26" s="34"/>
      <c r="M26" s="46"/>
      <c r="N26" s="47"/>
      <c r="O26" s="5"/>
      <c r="P26" s="5"/>
      <c r="Q26" s="5"/>
      <c r="R26" s="9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15" t="s">
        <v>32</v>
      </c>
      <c r="B27" s="100">
        <v>580.0</v>
      </c>
      <c r="C27" s="100">
        <v>250.0</v>
      </c>
      <c r="D27" s="100">
        <v>670.0</v>
      </c>
      <c r="E27" s="100">
        <v>799.0</v>
      </c>
      <c r="F27" s="100">
        <v>1011.0</v>
      </c>
      <c r="G27" s="100">
        <v>435.0</v>
      </c>
      <c r="H27" s="100">
        <v>699.0</v>
      </c>
      <c r="I27" s="100">
        <v>899.0</v>
      </c>
      <c r="J27" s="97">
        <v>659.0</v>
      </c>
      <c r="K27" s="92">
        <v>766.99</v>
      </c>
      <c r="L27" s="101">
        <v>509.79</v>
      </c>
      <c r="M27" s="97">
        <v>650.0</v>
      </c>
      <c r="N27" s="61"/>
      <c r="O27" s="5"/>
      <c r="P27" s="5"/>
      <c r="Q27" s="5"/>
      <c r="R27" s="9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18" t="s">
        <v>33</v>
      </c>
      <c r="B28" s="28">
        <f t="shared" ref="B28:M28" si="3">SUM(B16:B27)</f>
        <v>49266.6</v>
      </c>
      <c r="C28" s="28">
        <f t="shared" si="3"/>
        <v>150643.4</v>
      </c>
      <c r="D28" s="28">
        <f t="shared" si="3"/>
        <v>220474.34</v>
      </c>
      <c r="E28" s="28">
        <f t="shared" si="3"/>
        <v>410292.44</v>
      </c>
      <c r="F28" s="28">
        <f t="shared" si="3"/>
        <v>226634.88</v>
      </c>
      <c r="G28" s="28">
        <f t="shared" si="3"/>
        <v>151562.52</v>
      </c>
      <c r="H28" s="28">
        <f t="shared" si="3"/>
        <v>189973.72</v>
      </c>
      <c r="I28" s="28">
        <f t="shared" si="3"/>
        <v>166190.28</v>
      </c>
      <c r="J28" s="28">
        <f t="shared" si="3"/>
        <v>131682.61</v>
      </c>
      <c r="K28" s="28">
        <f t="shared" si="3"/>
        <v>126286.99</v>
      </c>
      <c r="L28" s="28">
        <f t="shared" si="3"/>
        <v>71413.79</v>
      </c>
      <c r="M28" s="28">
        <f t="shared" si="3"/>
        <v>146401</v>
      </c>
      <c r="N28" s="85"/>
      <c r="O28" s="5"/>
      <c r="P28" s="5"/>
      <c r="Q28" s="5"/>
      <c r="R28" s="9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62"/>
      <c r="B29" s="62"/>
      <c r="C29" s="62"/>
      <c r="D29" s="63"/>
      <c r="E29" s="64"/>
      <c r="F29" s="64"/>
      <c r="G29" s="64"/>
      <c r="H29" s="64"/>
      <c r="I29" s="64"/>
      <c r="J29" s="65"/>
      <c r="K29" s="62"/>
      <c r="L29" s="62"/>
      <c r="M29" s="62"/>
      <c r="N29" s="66"/>
      <c r="O29" s="5"/>
      <c r="P29" s="5"/>
      <c r="Q29" s="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6" t="s">
        <v>34</v>
      </c>
      <c r="B30" s="7" t="s">
        <v>2</v>
      </c>
      <c r="C30" s="7" t="s">
        <v>3</v>
      </c>
      <c r="D30" s="7" t="s">
        <v>4</v>
      </c>
      <c r="E30" s="7" t="s">
        <v>5</v>
      </c>
      <c r="F30" s="7" t="s">
        <v>6</v>
      </c>
      <c r="G30" s="7" t="s">
        <v>7</v>
      </c>
      <c r="H30" s="7" t="s">
        <v>8</v>
      </c>
      <c r="I30" s="7" t="s">
        <v>9</v>
      </c>
      <c r="J30" s="7" t="s">
        <v>10</v>
      </c>
      <c r="K30" s="7" t="s">
        <v>11</v>
      </c>
      <c r="L30" s="7" t="s">
        <v>12</v>
      </c>
      <c r="M30" s="7" t="s">
        <v>13</v>
      </c>
      <c r="N30" s="8"/>
      <c r="O30" s="5"/>
      <c r="P30" s="5"/>
      <c r="Q30" s="5"/>
      <c r="R30" s="9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18" t="s">
        <v>35</v>
      </c>
      <c r="B31" s="28">
        <f t="shared" ref="B31:M31" si="4">B7-B11-B28</f>
        <v>17305.36</v>
      </c>
      <c r="C31" s="28">
        <f t="shared" si="4"/>
        <v>78375.18</v>
      </c>
      <c r="D31" s="28">
        <f t="shared" si="4"/>
        <v>109343.32</v>
      </c>
      <c r="E31" s="28">
        <f t="shared" si="4"/>
        <v>171358.08</v>
      </c>
      <c r="F31" s="28">
        <f t="shared" si="4"/>
        <v>91068.66</v>
      </c>
      <c r="G31" s="28">
        <f t="shared" si="4"/>
        <v>55786.14</v>
      </c>
      <c r="H31" s="28">
        <f t="shared" si="4"/>
        <v>67144.04</v>
      </c>
      <c r="I31" s="28">
        <f t="shared" si="4"/>
        <v>47933.96</v>
      </c>
      <c r="J31" s="28">
        <f t="shared" si="4"/>
        <v>25094.66</v>
      </c>
      <c r="K31" s="28">
        <f t="shared" si="4"/>
        <v>12270.18</v>
      </c>
      <c r="L31" s="28">
        <f t="shared" si="4"/>
        <v>20397.18</v>
      </c>
      <c r="M31" s="28">
        <f t="shared" si="4"/>
        <v>54618.17</v>
      </c>
      <c r="N31" s="85">
        <f>SUM(B31:M31)</f>
        <v>750694.93</v>
      </c>
      <c r="O31" s="5"/>
      <c r="P31" s="5"/>
      <c r="Q31" s="5"/>
      <c r="R31" s="9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0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5"/>
      <c r="P32" s="5"/>
      <c r="Q32" s="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68"/>
      <c r="B33" s="69"/>
      <c r="C33" s="70"/>
      <c r="D33" s="70"/>
      <c r="E33" s="70"/>
      <c r="F33" s="70"/>
      <c r="G33" s="70"/>
      <c r="H33" s="70"/>
      <c r="I33" s="71"/>
      <c r="J33" s="71"/>
      <c r="K33" s="71"/>
      <c r="L33" s="71"/>
      <c r="M33" s="71"/>
      <c r="N33" s="2"/>
      <c r="O33" s="71"/>
      <c r="P33" s="71"/>
      <c r="Q33" s="7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68"/>
      <c r="B34" s="69"/>
      <c r="C34" s="72"/>
      <c r="D34" s="72"/>
      <c r="E34" s="72"/>
      <c r="F34" s="72"/>
      <c r="G34" s="72"/>
      <c r="H34" s="72"/>
      <c r="I34" s="71"/>
      <c r="J34" s="71"/>
      <c r="K34" s="71"/>
      <c r="L34" s="71"/>
      <c r="M34" s="71"/>
      <c r="N34" s="71"/>
      <c r="O34" s="71"/>
      <c r="P34" s="71"/>
      <c r="Q34" s="7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73"/>
      <c r="B35" s="73"/>
      <c r="C35" s="73"/>
      <c r="D35" s="73"/>
      <c r="E35" s="73"/>
      <c r="F35" s="73"/>
      <c r="G35" s="73"/>
      <c r="H35" s="7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74" t="s">
        <v>36</v>
      </c>
      <c r="B37" s="7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76"/>
      <c r="B38" s="77"/>
      <c r="C38" s="70"/>
      <c r="D38" s="70"/>
      <c r="E38" s="70"/>
      <c r="F38" s="70"/>
      <c r="G38" s="70"/>
      <c r="H38" s="7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78"/>
      <c r="B39" s="7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78"/>
      <c r="B40" s="7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78"/>
      <c r="B41" s="7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78"/>
      <c r="B42" s="7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7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63"/>
      <c r="B48" s="7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63"/>
      <c r="B49" s="8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6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63"/>
      <c r="B51" s="25"/>
      <c r="C51" s="9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63"/>
      <c r="B52" s="81"/>
      <c r="C52" s="9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0"/>
      <c r="B53" s="2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82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82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82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82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82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82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82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82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82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82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82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82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82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82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82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82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82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82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82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82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82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82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82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82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82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82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82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82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82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82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82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82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82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82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82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82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82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82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82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82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82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82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82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82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82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82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82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82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82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82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82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82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82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82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82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82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82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82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82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82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82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82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82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82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82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82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82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82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82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82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82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82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82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82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82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82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82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82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82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82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82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82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82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82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82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82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82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82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82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82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82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82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82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82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82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82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82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82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82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82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82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82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82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82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82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82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82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82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82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82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82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82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82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82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82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82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82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82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82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82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82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82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82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82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82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82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82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82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82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82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82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82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82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82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82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82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82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82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82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82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82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82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82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82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82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82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82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82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82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82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82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82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82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82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82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82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82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82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82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82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82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82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82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82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82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82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82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82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82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82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82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82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82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82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82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82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82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82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82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82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82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82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82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82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82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82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82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82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82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82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82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82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82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82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82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82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82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82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82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82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82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82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82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82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82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82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82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82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82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82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82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82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82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82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82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82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82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82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82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82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82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82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82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82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82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82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82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82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82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82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82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82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82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82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82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82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82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82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82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82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82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82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82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82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82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82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82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82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82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82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82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82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82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82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82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82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82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82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82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82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82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82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82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82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82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82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82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82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82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82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82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82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82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82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82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82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82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82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82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82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82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82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82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82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82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82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82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82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82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82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82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82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82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82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82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82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82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82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82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82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82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82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82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82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82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82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82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82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82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82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82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82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82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82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82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82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82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82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82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82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82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82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82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82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82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82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82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82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82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82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82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82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82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82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82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82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82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82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82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82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82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82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82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82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82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82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82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82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82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82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82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82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82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82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82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82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82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82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82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82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82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82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82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82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82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82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82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82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82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82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82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82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82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82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82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82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82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82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82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82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82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82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82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82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82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82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82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82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82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82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82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82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82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82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82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82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82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82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82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82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82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82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82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82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82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82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82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82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82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82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82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82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82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82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82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82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82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82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82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82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82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82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82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82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82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82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82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82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82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82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82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82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82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82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82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82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82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82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82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82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82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82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82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82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82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82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82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82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82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82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82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82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82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82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82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82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82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82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82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82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82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82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82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82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82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82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82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82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82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82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82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82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82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82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82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82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82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82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82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82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82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82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82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82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82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82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82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82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82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82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82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82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82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82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82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82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82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82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82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82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82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82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82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82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82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82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82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82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82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82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82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82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82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82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82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82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82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82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82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82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82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82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82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82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82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82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82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82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82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82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82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82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82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82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82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82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82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82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82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82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82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82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82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82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82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82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82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82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82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82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82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82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82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82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82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82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82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82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82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82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82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82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82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82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82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82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82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82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82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82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82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82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82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82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82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82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82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82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82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82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82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82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82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82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82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82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82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82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82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82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82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82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82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82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82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82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82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82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82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82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82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82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82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82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82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82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82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82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82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82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82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82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82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82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82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82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82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82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82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82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82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82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82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82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82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82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82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82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82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82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82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82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82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82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82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82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82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82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82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82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82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82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82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82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82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82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82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82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82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82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82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82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82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82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82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82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82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82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82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82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82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82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82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82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82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82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82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82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82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82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82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82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82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82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82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82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82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82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82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82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82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82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82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82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82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82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82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82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82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82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82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82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82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82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82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82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82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82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82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82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82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82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82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82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82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82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82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82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82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82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82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82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82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82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82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82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82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82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82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82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82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82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82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82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82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82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82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82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82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82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82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82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82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82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82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82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82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82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82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82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82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82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82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82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82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82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82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82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82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82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82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82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82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82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82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82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82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82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82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82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82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</sheetData>
  <mergeCells count="1">
    <mergeCell ref="A37:B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3"/>
      <c r="B3" s="102">
        <v>2026.0</v>
      </c>
      <c r="C3" s="102">
        <v>2026.0</v>
      </c>
      <c r="D3" s="102">
        <v>2026.0</v>
      </c>
      <c r="E3" s="102">
        <v>2026.0</v>
      </c>
      <c r="F3" s="102">
        <v>2026.0</v>
      </c>
      <c r="G3" s="102">
        <v>2026.0</v>
      </c>
      <c r="H3" s="102">
        <v>2026.0</v>
      </c>
      <c r="I3" s="102">
        <v>2026.0</v>
      </c>
      <c r="J3" s="102">
        <v>2026.0</v>
      </c>
      <c r="K3" s="102">
        <v>2026.0</v>
      </c>
      <c r="L3" s="102">
        <v>2026.0</v>
      </c>
      <c r="M3" s="102">
        <v>2026.0</v>
      </c>
      <c r="N3" s="2"/>
      <c r="O3" s="5"/>
      <c r="P3" s="5"/>
      <c r="Q3" s="5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8"/>
      <c r="O4" s="5"/>
      <c r="P4" s="5"/>
      <c r="Q4" s="5"/>
      <c r="R4" s="9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0" t="s">
        <v>14</v>
      </c>
      <c r="B5" s="13">
        <v>339509.0</v>
      </c>
      <c r="C5" s="13">
        <v>257737.0</v>
      </c>
      <c r="D5" s="13"/>
      <c r="E5" s="13"/>
      <c r="F5" s="13"/>
      <c r="G5" s="13"/>
      <c r="H5" s="13"/>
      <c r="I5" s="13"/>
      <c r="J5" s="83"/>
      <c r="K5" s="11"/>
      <c r="L5" s="11"/>
      <c r="M5" s="11"/>
      <c r="N5" s="84"/>
      <c r="O5" s="5"/>
      <c r="P5" s="5"/>
      <c r="Q5" s="5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5" t="s">
        <v>15</v>
      </c>
      <c r="B6" s="17">
        <v>246.91</v>
      </c>
      <c r="C6" s="17">
        <v>199.11</v>
      </c>
      <c r="D6" s="17"/>
      <c r="E6" s="17"/>
      <c r="F6" s="17"/>
      <c r="G6" s="17"/>
      <c r="H6" s="17"/>
      <c r="I6" s="17"/>
      <c r="J6" s="17"/>
      <c r="K6" s="16"/>
      <c r="L6" s="16"/>
      <c r="M6" s="16"/>
      <c r="N6" s="84"/>
      <c r="O6" s="5"/>
      <c r="P6" s="5"/>
      <c r="Q6" s="5"/>
      <c r="R6" s="9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8" t="s">
        <v>16</v>
      </c>
      <c r="B7" s="19">
        <f t="shared" ref="B7:M7" si="1">B5-B6</f>
        <v>339262.09</v>
      </c>
      <c r="C7" s="19">
        <f t="shared" si="1"/>
        <v>257537.89</v>
      </c>
      <c r="D7" s="19">
        <f t="shared" si="1"/>
        <v>0</v>
      </c>
      <c r="E7" s="19">
        <f t="shared" si="1"/>
        <v>0</v>
      </c>
      <c r="F7" s="19">
        <f t="shared" si="1"/>
        <v>0</v>
      </c>
      <c r="G7" s="19">
        <f t="shared" si="1"/>
        <v>0</v>
      </c>
      <c r="H7" s="19">
        <f t="shared" si="1"/>
        <v>0</v>
      </c>
      <c r="I7" s="19">
        <f t="shared" si="1"/>
        <v>0</v>
      </c>
      <c r="J7" s="19">
        <f t="shared" si="1"/>
        <v>0</v>
      </c>
      <c r="K7" s="19">
        <f t="shared" si="1"/>
        <v>0</v>
      </c>
      <c r="L7" s="19">
        <f t="shared" si="1"/>
        <v>0</v>
      </c>
      <c r="M7" s="19">
        <f t="shared" si="1"/>
        <v>0</v>
      </c>
      <c r="N7" s="85"/>
      <c r="O7" s="5"/>
      <c r="P7" s="5"/>
      <c r="Q7" s="5"/>
      <c r="R7" s="9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2"/>
      <c r="O8" s="5"/>
      <c r="P8" s="5"/>
      <c r="Q8" s="5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3"/>
      <c r="B9" s="102">
        <v>2026.0</v>
      </c>
      <c r="C9" s="102">
        <v>2026.0</v>
      </c>
      <c r="D9" s="102">
        <v>2026.0</v>
      </c>
      <c r="E9" s="102">
        <v>2026.0</v>
      </c>
      <c r="F9" s="102">
        <v>2026.0</v>
      </c>
      <c r="G9" s="102">
        <v>2026.0</v>
      </c>
      <c r="H9" s="102">
        <v>2026.0</v>
      </c>
      <c r="I9" s="102">
        <v>2026.0</v>
      </c>
      <c r="J9" s="102">
        <v>2026.0</v>
      </c>
      <c r="K9" s="102">
        <v>2026.0</v>
      </c>
      <c r="L9" s="102">
        <v>2026.0</v>
      </c>
      <c r="M9" s="102">
        <v>2026.0</v>
      </c>
      <c r="N9" s="23"/>
      <c r="O9" s="5"/>
      <c r="P9" s="5"/>
      <c r="Q9" s="5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6" t="s">
        <v>17</v>
      </c>
      <c r="B10" s="7" t="s">
        <v>2</v>
      </c>
      <c r="C10" s="7" t="s">
        <v>3</v>
      </c>
      <c r="D10" s="7" t="s">
        <v>4</v>
      </c>
      <c r="E10" s="7" t="s">
        <v>5</v>
      </c>
      <c r="F10" s="7" t="s">
        <v>6</v>
      </c>
      <c r="G10" s="7" t="s">
        <v>7</v>
      </c>
      <c r="H10" s="7" t="s">
        <v>8</v>
      </c>
      <c r="I10" s="7" t="s">
        <v>9</v>
      </c>
      <c r="J10" s="7" t="s">
        <v>10</v>
      </c>
      <c r="K10" s="7" t="s">
        <v>11</v>
      </c>
      <c r="L10" s="7" t="s">
        <v>12</v>
      </c>
      <c r="M10" s="7" t="s">
        <v>13</v>
      </c>
      <c r="N10" s="8"/>
      <c r="O10" s="5"/>
      <c r="P10" s="5"/>
      <c r="Q10" s="5"/>
      <c r="R10" s="9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4" t="s">
        <v>18</v>
      </c>
      <c r="B11" s="27">
        <v>58921.0</v>
      </c>
      <c r="C11" s="27">
        <v>46392.659999999996</v>
      </c>
      <c r="D11" s="27"/>
      <c r="E11" s="27"/>
      <c r="F11" s="27"/>
      <c r="G11" s="27"/>
      <c r="H11" s="27"/>
      <c r="I11" s="27"/>
      <c r="J11" s="86"/>
      <c r="K11" s="25"/>
      <c r="L11" s="25"/>
      <c r="M11" s="25"/>
      <c r="N11" s="84"/>
      <c r="O11" s="5"/>
      <c r="P11" s="5"/>
      <c r="Q11" s="5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18" t="s">
        <v>19</v>
      </c>
      <c r="B12" s="28">
        <f t="shared" ref="B12:M12" si="2">B7-B11</f>
        <v>280341.09</v>
      </c>
      <c r="C12" s="28">
        <f t="shared" si="2"/>
        <v>211145.23</v>
      </c>
      <c r="D12" s="28">
        <f t="shared" si="2"/>
        <v>0</v>
      </c>
      <c r="E12" s="28">
        <f t="shared" si="2"/>
        <v>0</v>
      </c>
      <c r="F12" s="28">
        <f t="shared" si="2"/>
        <v>0</v>
      </c>
      <c r="G12" s="28">
        <f t="shared" si="2"/>
        <v>0</v>
      </c>
      <c r="H12" s="28">
        <f t="shared" si="2"/>
        <v>0</v>
      </c>
      <c r="I12" s="28">
        <f t="shared" si="2"/>
        <v>0</v>
      </c>
      <c r="J12" s="28">
        <f t="shared" si="2"/>
        <v>0</v>
      </c>
      <c r="K12" s="28">
        <f t="shared" si="2"/>
        <v>0</v>
      </c>
      <c r="L12" s="28">
        <f t="shared" si="2"/>
        <v>0</v>
      </c>
      <c r="M12" s="28">
        <f t="shared" si="2"/>
        <v>0</v>
      </c>
      <c r="N12" s="85"/>
      <c r="O12" s="5"/>
      <c r="P12" s="5"/>
      <c r="Q12" s="5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2"/>
      <c r="O13" s="5"/>
      <c r="P13" s="5"/>
      <c r="Q13" s="5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3"/>
      <c r="B14" s="102">
        <v>2026.0</v>
      </c>
      <c r="C14" s="102">
        <v>2026.0</v>
      </c>
      <c r="D14" s="102">
        <v>2026.0</v>
      </c>
      <c r="E14" s="102">
        <v>2026.0</v>
      </c>
      <c r="F14" s="102">
        <v>2026.0</v>
      </c>
      <c r="G14" s="102">
        <v>2026.0</v>
      </c>
      <c r="H14" s="102">
        <v>2026.0</v>
      </c>
      <c r="I14" s="102">
        <v>2026.0</v>
      </c>
      <c r="J14" s="102">
        <v>2026.0</v>
      </c>
      <c r="K14" s="102">
        <v>2026.0</v>
      </c>
      <c r="L14" s="102">
        <v>2026.0</v>
      </c>
      <c r="M14" s="102">
        <v>2026.0</v>
      </c>
      <c r="N14" s="23"/>
      <c r="O14" s="5"/>
      <c r="P14" s="5"/>
      <c r="Q14" s="5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6" t="s">
        <v>20</v>
      </c>
      <c r="B15" s="7" t="s">
        <v>2</v>
      </c>
      <c r="C15" s="7" t="s">
        <v>3</v>
      </c>
      <c r="D15" s="7" t="s">
        <v>4</v>
      </c>
      <c r="E15" s="7" t="s">
        <v>5</v>
      </c>
      <c r="F15" s="7" t="s">
        <v>6</v>
      </c>
      <c r="G15" s="7" t="s">
        <v>7</v>
      </c>
      <c r="H15" s="7" t="s">
        <v>8</v>
      </c>
      <c r="I15" s="7" t="s">
        <v>9</v>
      </c>
      <c r="J15" s="7" t="s">
        <v>10</v>
      </c>
      <c r="K15" s="7" t="s">
        <v>11</v>
      </c>
      <c r="L15" s="7" t="s">
        <v>12</v>
      </c>
      <c r="M15" s="7" t="s">
        <v>13</v>
      </c>
      <c r="N15" s="8"/>
      <c r="O15" s="5"/>
      <c r="P15" s="5"/>
      <c r="Q15" s="5"/>
      <c r="R15" s="9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10" t="s">
        <v>21</v>
      </c>
      <c r="B16" s="103"/>
      <c r="C16" s="104"/>
      <c r="D16" s="104"/>
      <c r="E16" s="104"/>
      <c r="F16" s="103"/>
      <c r="G16" s="103"/>
      <c r="H16" s="103"/>
      <c r="I16" s="104"/>
      <c r="J16" s="104"/>
      <c r="K16" s="105"/>
      <c r="L16" s="104"/>
      <c r="M16" s="106"/>
      <c r="N16" s="32"/>
      <c r="O16" s="5"/>
      <c r="P16" s="5"/>
      <c r="Q16" s="5"/>
      <c r="R16" s="9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33" t="s">
        <v>22</v>
      </c>
      <c r="B17" s="107">
        <v>20983.0</v>
      </c>
      <c r="C17" s="107">
        <v>21317.0</v>
      </c>
      <c r="D17" s="107"/>
      <c r="E17" s="107"/>
      <c r="F17" s="107"/>
      <c r="G17" s="107"/>
      <c r="H17" s="107"/>
      <c r="I17" s="107"/>
      <c r="J17" s="108"/>
      <c r="K17" s="81"/>
      <c r="L17" s="109"/>
      <c r="M17" s="110"/>
      <c r="N17" s="47"/>
      <c r="O17" s="5"/>
      <c r="P17" s="5"/>
      <c r="Q17" s="5"/>
      <c r="R17" s="9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33" t="s">
        <v>23</v>
      </c>
      <c r="B18" s="107">
        <v>192531.0</v>
      </c>
      <c r="C18" s="111">
        <v>154486.0</v>
      </c>
      <c r="D18" s="111"/>
      <c r="E18" s="111"/>
      <c r="F18" s="111"/>
      <c r="G18" s="111"/>
      <c r="H18" s="111"/>
      <c r="I18" s="111"/>
      <c r="J18" s="108"/>
      <c r="K18" s="81"/>
      <c r="L18" s="109"/>
      <c r="M18" s="110"/>
      <c r="N18" s="94"/>
      <c r="O18" s="5"/>
      <c r="P18" s="5"/>
      <c r="Q18" s="5"/>
      <c r="R18" s="9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33" t="s">
        <v>24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04"/>
      <c r="L19" s="112"/>
      <c r="M19" s="110"/>
      <c r="N19" s="47"/>
      <c r="O19" s="5"/>
      <c r="P19" s="5"/>
      <c r="Q19" s="5"/>
      <c r="R19" s="9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33" t="s">
        <v>25</v>
      </c>
      <c r="B20" s="112"/>
      <c r="C20" s="112"/>
      <c r="D20" s="112"/>
      <c r="E20" s="112"/>
      <c r="F20" s="112"/>
      <c r="G20" s="112"/>
      <c r="H20" s="113"/>
      <c r="I20" s="114"/>
      <c r="J20" s="112"/>
      <c r="K20" s="81"/>
      <c r="L20" s="112"/>
      <c r="M20" s="110"/>
      <c r="N20" s="47"/>
      <c r="O20" s="5"/>
      <c r="P20" s="5"/>
      <c r="Q20" s="5"/>
      <c r="R20" s="9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33" t="s">
        <v>26</v>
      </c>
      <c r="B21" s="107">
        <v>18787.0</v>
      </c>
      <c r="C21" s="107">
        <v>10309.48</v>
      </c>
      <c r="D21" s="107"/>
      <c r="E21" s="107"/>
      <c r="F21" s="107"/>
      <c r="G21" s="107"/>
      <c r="H21" s="107"/>
      <c r="I21" s="107"/>
      <c r="J21" s="108"/>
      <c r="K21" s="81"/>
      <c r="L21" s="109"/>
      <c r="M21" s="115"/>
      <c r="N21" s="61"/>
      <c r="O21" s="5"/>
      <c r="P21" s="5"/>
      <c r="Q21" s="5"/>
      <c r="R21" s="9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33" t="s">
        <v>27</v>
      </c>
      <c r="B22" s="111">
        <v>2268.0</v>
      </c>
      <c r="C22" s="111">
        <v>1869.89</v>
      </c>
      <c r="D22" s="111"/>
      <c r="E22" s="111"/>
      <c r="F22" s="111"/>
      <c r="G22" s="111"/>
      <c r="H22" s="116"/>
      <c r="I22" s="111"/>
      <c r="J22" s="108"/>
      <c r="K22" s="81"/>
      <c r="L22" s="117"/>
      <c r="M22" s="81"/>
      <c r="N22" s="85"/>
      <c r="O22" s="5"/>
      <c r="P22" s="5"/>
      <c r="Q22" s="5"/>
      <c r="R22" s="9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33" t="s">
        <v>28</v>
      </c>
      <c r="B23" s="112"/>
      <c r="C23" s="112"/>
      <c r="D23" s="112"/>
      <c r="E23" s="112"/>
      <c r="F23" s="112"/>
      <c r="G23" s="112"/>
      <c r="H23" s="112"/>
      <c r="I23" s="112"/>
      <c r="J23" s="110"/>
      <c r="K23" s="81"/>
      <c r="L23" s="109"/>
      <c r="M23" s="106"/>
      <c r="N23" s="32"/>
      <c r="O23" s="5"/>
      <c r="P23" s="5"/>
      <c r="Q23" s="5"/>
      <c r="R23" s="9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33" t="s">
        <v>29</v>
      </c>
      <c r="B24" s="112"/>
      <c r="C24" s="112"/>
      <c r="D24" s="112"/>
      <c r="E24" s="112"/>
      <c r="F24" s="112"/>
      <c r="G24" s="112"/>
      <c r="H24" s="112"/>
      <c r="I24" s="112"/>
      <c r="J24" s="110"/>
      <c r="K24" s="81"/>
      <c r="L24" s="109"/>
      <c r="M24" s="110"/>
      <c r="N24" s="47"/>
      <c r="O24" s="5"/>
      <c r="P24" s="5"/>
      <c r="Q24" s="5"/>
      <c r="R24" s="9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33" t="s">
        <v>30</v>
      </c>
      <c r="B25" s="56">
        <v>300.0</v>
      </c>
      <c r="C25" s="56">
        <v>300.0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47"/>
      <c r="O25" s="5"/>
      <c r="P25" s="5"/>
      <c r="Q25" s="5"/>
      <c r="R25" s="9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33" t="s">
        <v>31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05"/>
      <c r="L26" s="112"/>
      <c r="M26" s="110"/>
      <c r="N26" s="47"/>
      <c r="O26" s="5"/>
      <c r="P26" s="5"/>
      <c r="Q26" s="5"/>
      <c r="R26" s="9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15" t="s">
        <v>32</v>
      </c>
      <c r="B27" s="118">
        <v>439.99</v>
      </c>
      <c r="C27" s="118">
        <v>326.99</v>
      </c>
      <c r="D27" s="118"/>
      <c r="E27" s="118"/>
      <c r="F27" s="118"/>
      <c r="G27" s="118"/>
      <c r="H27" s="118"/>
      <c r="I27" s="118"/>
      <c r="J27" s="119"/>
      <c r="K27" s="81"/>
      <c r="L27" s="120"/>
      <c r="M27" s="115"/>
      <c r="N27" s="61"/>
      <c r="O27" s="5"/>
      <c r="P27" s="5"/>
      <c r="Q27" s="5"/>
      <c r="R27" s="9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18" t="s">
        <v>33</v>
      </c>
      <c r="B28" s="28">
        <f t="shared" ref="B28:M28" si="3">SUM(B16:B27)</f>
        <v>235308.99</v>
      </c>
      <c r="C28" s="28">
        <f t="shared" si="3"/>
        <v>188609.36</v>
      </c>
      <c r="D28" s="28">
        <f t="shared" si="3"/>
        <v>0</v>
      </c>
      <c r="E28" s="28">
        <f t="shared" si="3"/>
        <v>0</v>
      </c>
      <c r="F28" s="28">
        <f t="shared" si="3"/>
        <v>0</v>
      </c>
      <c r="G28" s="28">
        <f t="shared" si="3"/>
        <v>0</v>
      </c>
      <c r="H28" s="28">
        <f t="shared" si="3"/>
        <v>0</v>
      </c>
      <c r="I28" s="28">
        <f t="shared" si="3"/>
        <v>0</v>
      </c>
      <c r="J28" s="28">
        <f t="shared" si="3"/>
        <v>0</v>
      </c>
      <c r="K28" s="28">
        <f t="shared" si="3"/>
        <v>0</v>
      </c>
      <c r="L28" s="28">
        <f t="shared" si="3"/>
        <v>0</v>
      </c>
      <c r="M28" s="28">
        <f t="shared" si="3"/>
        <v>0</v>
      </c>
      <c r="N28" s="85"/>
      <c r="O28" s="5"/>
      <c r="P28" s="5"/>
      <c r="Q28" s="5"/>
      <c r="R28" s="9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62"/>
      <c r="B29" s="62"/>
      <c r="C29" s="62"/>
      <c r="D29" s="63"/>
      <c r="E29" s="64"/>
      <c r="F29" s="64"/>
      <c r="G29" s="64"/>
      <c r="H29" s="64"/>
      <c r="I29" s="64"/>
      <c r="J29" s="65"/>
      <c r="K29" s="62"/>
      <c r="L29" s="62"/>
      <c r="M29" s="62"/>
      <c r="N29" s="66"/>
      <c r="O29" s="5"/>
      <c r="P29" s="5"/>
      <c r="Q29" s="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6" t="s">
        <v>34</v>
      </c>
      <c r="B30" s="7" t="s">
        <v>2</v>
      </c>
      <c r="C30" s="7" t="s">
        <v>3</v>
      </c>
      <c r="D30" s="7" t="s">
        <v>4</v>
      </c>
      <c r="E30" s="7" t="s">
        <v>5</v>
      </c>
      <c r="F30" s="7" t="s">
        <v>6</v>
      </c>
      <c r="G30" s="7" t="s">
        <v>7</v>
      </c>
      <c r="H30" s="7" t="s">
        <v>8</v>
      </c>
      <c r="I30" s="7" t="s">
        <v>9</v>
      </c>
      <c r="J30" s="7" t="s">
        <v>10</v>
      </c>
      <c r="K30" s="7" t="s">
        <v>11</v>
      </c>
      <c r="L30" s="7" t="s">
        <v>12</v>
      </c>
      <c r="M30" s="7" t="s">
        <v>13</v>
      </c>
      <c r="N30" s="8"/>
      <c r="O30" s="5"/>
      <c r="P30" s="5"/>
      <c r="Q30" s="5"/>
      <c r="R30" s="9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18" t="s">
        <v>35</v>
      </c>
      <c r="B31" s="28">
        <f t="shared" ref="B31:M31" si="4">B7-B11-B28</f>
        <v>45032.1</v>
      </c>
      <c r="C31" s="28">
        <f t="shared" si="4"/>
        <v>22535.87</v>
      </c>
      <c r="D31" s="28">
        <f t="shared" si="4"/>
        <v>0</v>
      </c>
      <c r="E31" s="28">
        <f t="shared" si="4"/>
        <v>0</v>
      </c>
      <c r="F31" s="28">
        <f t="shared" si="4"/>
        <v>0</v>
      </c>
      <c r="G31" s="28">
        <f t="shared" si="4"/>
        <v>0</v>
      </c>
      <c r="H31" s="28">
        <f t="shared" si="4"/>
        <v>0</v>
      </c>
      <c r="I31" s="28">
        <f t="shared" si="4"/>
        <v>0</v>
      </c>
      <c r="J31" s="28">
        <f t="shared" si="4"/>
        <v>0</v>
      </c>
      <c r="K31" s="28">
        <f t="shared" si="4"/>
        <v>0</v>
      </c>
      <c r="L31" s="28">
        <f t="shared" si="4"/>
        <v>0</v>
      </c>
      <c r="M31" s="28">
        <f t="shared" si="4"/>
        <v>0</v>
      </c>
      <c r="N31" s="85">
        <f>SUM(B31:M31)</f>
        <v>67567.97</v>
      </c>
      <c r="O31" s="5"/>
      <c r="P31" s="5"/>
      <c r="Q31" s="5"/>
      <c r="R31" s="9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0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5"/>
      <c r="P32" s="5"/>
      <c r="Q32" s="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68"/>
      <c r="B33" s="69"/>
      <c r="C33" s="70"/>
      <c r="D33" s="70"/>
      <c r="E33" s="70"/>
      <c r="F33" s="70"/>
      <c r="G33" s="70"/>
      <c r="H33" s="70"/>
      <c r="I33" s="71"/>
      <c r="J33" s="71"/>
      <c r="K33" s="71"/>
      <c r="L33" s="71"/>
      <c r="M33" s="71"/>
      <c r="N33" s="2"/>
      <c r="O33" s="71"/>
      <c r="P33" s="71"/>
      <c r="Q33" s="7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68"/>
      <c r="B34" s="69"/>
      <c r="C34" s="72"/>
      <c r="D34" s="72"/>
      <c r="E34" s="72"/>
      <c r="F34" s="72"/>
      <c r="G34" s="72"/>
      <c r="H34" s="72"/>
      <c r="I34" s="71"/>
      <c r="J34" s="71"/>
      <c r="K34" s="71"/>
      <c r="L34" s="71"/>
      <c r="M34" s="71"/>
      <c r="N34" s="71"/>
      <c r="O34" s="71"/>
      <c r="P34" s="71"/>
      <c r="Q34" s="7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73"/>
      <c r="B35" s="73"/>
      <c r="C35" s="73"/>
      <c r="D35" s="73"/>
      <c r="E35" s="73"/>
      <c r="F35" s="73"/>
      <c r="G35" s="73"/>
      <c r="H35" s="7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74" t="s">
        <v>36</v>
      </c>
      <c r="B37" s="7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76"/>
      <c r="B38" s="77"/>
      <c r="C38" s="70"/>
      <c r="D38" s="70"/>
      <c r="E38" s="70"/>
      <c r="F38" s="70"/>
      <c r="G38" s="70"/>
      <c r="H38" s="7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78"/>
      <c r="B39" s="7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78"/>
      <c r="B40" s="7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78"/>
      <c r="B41" s="7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78"/>
      <c r="B42" s="7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7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63"/>
      <c r="B48" s="7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63"/>
      <c r="B49" s="8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6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63"/>
      <c r="B51" s="25"/>
      <c r="C51" s="9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63"/>
      <c r="B52" s="81"/>
      <c r="C52" s="9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0"/>
      <c r="B53" s="2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82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82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82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82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82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82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82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82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82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82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82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82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82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82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82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82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82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82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82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82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82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82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82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82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82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82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82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82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82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82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82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82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82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82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82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82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82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82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82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82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82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82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82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82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82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82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82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82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82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82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82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82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82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82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82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82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82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82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82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82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82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82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82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82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82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82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82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82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82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82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82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82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82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82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82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82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82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82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82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82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82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82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82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82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82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82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82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82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82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82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82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82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82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82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82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82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82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82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82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82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82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82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82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82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82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82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82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82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82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82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82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82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82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82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82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82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82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82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82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82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82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82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82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82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82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82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82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82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82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82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82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82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82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82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82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82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82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82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82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82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82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82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82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82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82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82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82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82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82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82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82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82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82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82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82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82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82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82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82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82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82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82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82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82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82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82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82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82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82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82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82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82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82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82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82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82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82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82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82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82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82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82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82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82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82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82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82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82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82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82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82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82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82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82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82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82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82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82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82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82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82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82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82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82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82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82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82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82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82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82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82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82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82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82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82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82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82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82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82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82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82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82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82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82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82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82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82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82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82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82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82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82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82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82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82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82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82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82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82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82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82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82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82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82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82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82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82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82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82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82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82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82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82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82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82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82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82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82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82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82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82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82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82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82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82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82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82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82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82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82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82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82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82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82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82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82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82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82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82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82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82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82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82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82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82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82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82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82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82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82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82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82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82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82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82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82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82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82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82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82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82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82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82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82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82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82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82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82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82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82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82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82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82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82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82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82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82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82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82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82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82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82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82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82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82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82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82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82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82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82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82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82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82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82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82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82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82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82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82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82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82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82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82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82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82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82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82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82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82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82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82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82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82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82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82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82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82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82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82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82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82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82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82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82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82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82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82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82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82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82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82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82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82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82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82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82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82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82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82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82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82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82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82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82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82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82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82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82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82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82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82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82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82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82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82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82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82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82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82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82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82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82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82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82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82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82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82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82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82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82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82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82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82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82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82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82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82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82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82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82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82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82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82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82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82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82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82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82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82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82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82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82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82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82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82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82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82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82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82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82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82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82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82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82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82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82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82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82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82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82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82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82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82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82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82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82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82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82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82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82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82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82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82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82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82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82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82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82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82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82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82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82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82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82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82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82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82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82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82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82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82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82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82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82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82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82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82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82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82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82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82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82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82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82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82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82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82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82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82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82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82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82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82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82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82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82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82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82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82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82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82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82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82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82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82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82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82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82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82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82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82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82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82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82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82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82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82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82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82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82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82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82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82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82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82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82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82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82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82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82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82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82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82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82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82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82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82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82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82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82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82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82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82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82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82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82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82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82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82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82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82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82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82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82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82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82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82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82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82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82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82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82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82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82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82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82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82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82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82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82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82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82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82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82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82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82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82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82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82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82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82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82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82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82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82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82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82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82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82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82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82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82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82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82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82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82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82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82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82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82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82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82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82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82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82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82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82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82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82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82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82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82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82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82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82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82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82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82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82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82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82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82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82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82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82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82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82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82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82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82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82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82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82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82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82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82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82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82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82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82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82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82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82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82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82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82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82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82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82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82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82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82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82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82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82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82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82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82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82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82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82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82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82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82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82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82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82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82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82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82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82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82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82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82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82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82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82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82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82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82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82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82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82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82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82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82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82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82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82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82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82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82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82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82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82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82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82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82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82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82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82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82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82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82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82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82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82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82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82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82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82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82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82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82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82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82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82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82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82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82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82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82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82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82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82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82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82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82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82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82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82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82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82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82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82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82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82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82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82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82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82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82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82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82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82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82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82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82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82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82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82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</sheetData>
  <mergeCells count="1">
    <mergeCell ref="A37:B37"/>
  </mergeCells>
  <drawing r:id="rId1"/>
</worksheet>
</file>