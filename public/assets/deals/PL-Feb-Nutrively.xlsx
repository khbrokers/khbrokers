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>
    <definedName hidden="1" localSheetId="2" name="_xlnm._FilterDatabase">'2024'!$L$21:$L$30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<sst xmlns="http://schemas.openxmlformats.org/spreadsheetml/2006/main" count="332" uniqueCount="43">
  <si>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</si>
  <si>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</si>
  <si>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</si>
  <si>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</si>
  <si>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</si>
  <si>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</si>
  <si>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</si>
  <si>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</si>
  <si>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</si>
  <si>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</si>
  <si>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</si>
  <si>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</si>
  <si>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</si>
  <si>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</si>
  <si>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</si>
  <si>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</si>
  <si>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</si>
  <si>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</si>
  <si>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</si>
  <si>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</si>
  <si>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</si>
  <si>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</si>
  <si>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</si>
  <si>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</si>
  <si>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</si>
  <si>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</si>
  <si>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</si>
  <si>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</si>
  <si>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</si>
  <si>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</si>
  <si>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</si>
  <si>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</si>
  <si>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</si>
  <si>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</si>
  <si>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Disputely Chargeback App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</si>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</sst>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9.0"/>
      <color rgb="FF303030"/>
      <name val="Inter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3" fontId="5" numFmtId="164" xfId="0" applyAlignment="1" applyFill="1" applyFont="1" applyNumberFormat="1">
      <alignment readingOrder="0" shrinkToFit="0" wrapText="0"/>
    </xf>
    <xf borderId="0" fillId="0" fontId="6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readingOrder="0" shrinkToFit="0" wrapText="0"/>
    </xf>
    <xf borderId="0" fillId="0" fontId="8" numFmtId="164" xfId="0" applyAlignment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4" fontId="6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8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4" fontId="9" numFmtId="0" xfId="0" applyAlignment="1" applyFont="1">
      <alignment vertical="bottom"/>
    </xf>
    <xf borderId="0" fillId="5" fontId="9" numFmtId="164" xfId="0" applyAlignment="1" applyFill="1" applyFont="1" applyNumberFormat="1">
      <alignment readingOrder="0" shrinkToFit="0" wrapText="0"/>
    </xf>
    <xf borderId="0" fillId="5" fontId="9" numFmtId="164" xfId="0" applyAlignment="1" applyFont="1" applyNumberFormat="1">
      <alignment readingOrder="0" vertical="bottom"/>
    </xf>
    <xf borderId="0" fillId="6" fontId="7" numFmtId="164" xfId="0" applyAlignment="1" applyFill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/>
    </xf>
    <xf borderId="0" fillId="6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readingOrder="0" vertical="bottom"/>
    </xf>
    <xf borderId="0" fillId="4" fontId="6" numFmtId="164" xfId="0" applyAlignment="1" applyFont="1" applyNumberFormat="1">
      <alignment horizontal="right" readingOrder="0" vertical="bottom"/>
    </xf>
    <xf borderId="0" fillId="4" fontId="10" numFmtId="164" xfId="0" applyAlignment="1" applyFont="1" applyNumberFormat="1">
      <alignment horizontal="right" vertical="bottom"/>
    </xf>
    <xf borderId="0" fillId="4" fontId="10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4" fontId="6" numFmtId="165" xfId="0" applyAlignment="1" applyFont="1" applyNumberForma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right"/>
    </xf>
    <xf borderId="0" fillId="0" fontId="6" numFmtId="164" xfId="0" applyAlignment="1" applyFont="1" applyNumberFormat="1">
      <alignment horizontal="right" readingOrder="0"/>
    </xf>
    <xf borderId="0" fillId="6" fontId="8" numFmtId="164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4" fontId="10" numFmtId="165" xfId="0" applyAlignment="1" applyFont="1" applyNumberFormat="1">
      <alignment horizontal="right" vertical="bottom"/>
    </xf>
    <xf borderId="0" fillId="4" fontId="10" numFmtId="165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4" fontId="9" numFmtId="165" xfId="0" applyAlignment="1" applyFont="1" applyNumberFormat="1">
      <alignment horizontal="right" vertical="bottom"/>
    </xf>
    <xf borderId="0" fillId="4" fontId="9" numFmtId="165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6" fontId="11" numFmtId="0" xfId="0" applyAlignment="1" applyFont="1">
      <alignment vertical="bottom"/>
    </xf>
    <xf borderId="0" fillId="6" fontId="11" numFmtId="165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shrinkToFit="0" wrapText="0"/>
    </xf>
    <xf borderId="0" fillId="7" fontId="8" numFmtId="164" xfId="0" applyAlignment="1" applyFill="1" applyFont="1" applyNumberFormat="1">
      <alignment horizontal="right" readingOrder="0" shrinkToFit="0" wrapText="0"/>
    </xf>
    <xf borderId="0" fillId="7" fontId="8" numFmtId="164" xfId="0" applyAlignment="1" applyFont="1" applyNumberFormat="1">
      <alignment horizontal="right" readingOrder="0"/>
    </xf>
    <xf borderId="0" fillId="6" fontId="8" numFmtId="164" xfId="0" applyAlignment="1" applyFont="1" applyNumberFormat="1">
      <alignment horizontal="right" readingOrder="0"/>
    </xf>
    <xf borderId="0" fillId="6" fontId="7" numFmtId="164" xfId="0" applyAlignment="1" applyFont="1" applyNumberFormat="1">
      <alignment horizontal="right" readingOrder="0"/>
    </xf>
    <xf borderId="0" fillId="6" fontId="8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'2026'!$A$37:$A$41</c:f>
            </c:strRef>
          </c:cat>
          <c:val>
            <c:numRef>
              <c:f>'2026'!$B$37:$B$41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226897.2</v>
      </c>
      <c r="C5" s="11">
        <v>210672.05</v>
      </c>
      <c r="D5" s="12"/>
      <c r="E5" s="13"/>
      <c r="F5" s="13"/>
      <c r="G5" s="14"/>
      <c r="H5" s="15"/>
      <c r="I5" s="15"/>
      <c r="J5" s="16"/>
      <c r="K5" s="15"/>
      <c r="L5" s="14"/>
      <c r="M5" s="14"/>
      <c r="N5" s="17">
        <f t="shared" ref="N5:N8" si="1">SUM(B5:M5)</f>
        <v>437569.25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v>9359.19</v>
      </c>
      <c r="C6" s="11">
        <v>8585.13</v>
      </c>
      <c r="D6" s="12"/>
      <c r="E6" s="13"/>
      <c r="F6" s="12"/>
      <c r="G6" s="13"/>
      <c r="H6" s="14"/>
      <c r="I6" s="14"/>
      <c r="J6" s="19"/>
      <c r="K6" s="20"/>
      <c r="L6" s="14"/>
      <c r="M6" s="14"/>
      <c r="N6" s="17">
        <f t="shared" si="1"/>
        <v>17944.32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>
        <v>8005.82</v>
      </c>
      <c r="C7" s="21">
        <v>5679.22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13685.04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209532.19</v>
      </c>
      <c r="C8" s="23">
        <f t="shared" si="2"/>
        <v>196407.7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405939.89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>
        <v>58900.54</v>
      </c>
      <c r="C12" s="25">
        <v>44890.81</v>
      </c>
      <c r="D12" s="25"/>
      <c r="E12" s="25"/>
      <c r="F12" s="25"/>
      <c r="G12" s="25"/>
      <c r="H12" s="26"/>
      <c r="I12" s="25"/>
      <c r="J12" s="25"/>
      <c r="K12" s="27"/>
      <c r="L12" s="12"/>
      <c r="M12" s="28"/>
      <c r="N12" s="29">
        <f t="shared" ref="N12:N13" si="4">SUM(B12:M12)</f>
        <v>103791.35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150631.65</v>
      </c>
      <c r="C13" s="30">
        <f t="shared" si="3"/>
        <v>151516.89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302148.54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2"/>
      <c r="M18" s="12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>
        <v>46838.16</v>
      </c>
      <c r="C19" s="20">
        <v>69482.38</v>
      </c>
      <c r="D19" s="20"/>
      <c r="E19" s="20"/>
      <c r="F19" s="20"/>
      <c r="G19" s="20"/>
      <c r="H19" s="20"/>
      <c r="I19" s="20"/>
      <c r="J19" s="20"/>
      <c r="K19" s="27"/>
      <c r="L19" s="12"/>
      <c r="M19" s="12"/>
      <c r="N19" s="33">
        <f t="shared" si="5"/>
        <v>116320.54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>
        <v>12891.13</v>
      </c>
      <c r="C22" s="20">
        <v>11982.44</v>
      </c>
      <c r="D22" s="20"/>
      <c r="E22" s="20"/>
      <c r="F22" s="37"/>
      <c r="G22" s="37"/>
      <c r="H22" s="37"/>
      <c r="I22" s="38"/>
      <c r="J22" s="37"/>
      <c r="K22" s="37"/>
      <c r="L22" s="37"/>
      <c r="M22" s="37"/>
      <c r="N22" s="33">
        <f t="shared" si="5"/>
        <v>24873.57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29</v>
      </c>
      <c r="B24" s="20">
        <v>767.25</v>
      </c>
      <c r="C24" s="20">
        <v>767.25</v>
      </c>
      <c r="D24" s="20"/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1534.5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2"/>
      <c r="M25" s="12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20">
        <v>1350.0</v>
      </c>
      <c r="C27" s="20">
        <v>950.0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2300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34</v>
      </c>
      <c r="B29" s="38">
        <v>6650.0</v>
      </c>
      <c r="C29" s="38">
        <v>7408.0</v>
      </c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14058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2">
        <f t="shared" ref="B30:M30" si="6">SUM(B17:B29)</f>
        <v>68496.54</v>
      </c>
      <c r="C30" s="42">
        <f t="shared" si="6"/>
        <v>90590.07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0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3">
        <f t="shared" si="5"/>
        <v>159086.61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6">
        <f t="shared" ref="B33:M33" si="7">MINUS(B13,B30)</f>
        <v>82135.11</v>
      </c>
      <c r="C33" s="46">
        <f t="shared" si="7"/>
        <v>60926.82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0</v>
      </c>
      <c r="J33" s="46">
        <f t="shared" si="7"/>
        <v>0</v>
      </c>
      <c r="K33" s="46">
        <f t="shared" si="7"/>
        <v>0</v>
      </c>
      <c r="L33" s="46">
        <f t="shared" si="7"/>
        <v>0</v>
      </c>
      <c r="M33" s="46">
        <f t="shared" si="7"/>
        <v>0</v>
      </c>
      <c r="N33" s="47">
        <f>SUM(B33:M33)</f>
        <v>143061.93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116320.54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57"/>
      <c r="C5" s="13"/>
      <c r="D5" s="12"/>
      <c r="E5" s="13"/>
      <c r="F5" s="13"/>
      <c r="G5" s="14"/>
      <c r="H5" s="15"/>
      <c r="I5" s="15">
        <v>9935.75</v>
      </c>
      <c r="J5" s="16">
        <v>178216.96</v>
      </c>
      <c r="K5" s="15">
        <v>364288.94</v>
      </c>
      <c r="L5" s="14">
        <v>288526.04</v>
      </c>
      <c r="M5" s="14">
        <v>286339.0</v>
      </c>
      <c r="N5" s="17">
        <f t="shared" ref="N5:N8" si="1">SUM(B5:M5)</f>
        <v>1127306.69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57"/>
      <c r="C6" s="13"/>
      <c r="D6" s="12"/>
      <c r="E6" s="13"/>
      <c r="F6" s="12"/>
      <c r="G6" s="13"/>
      <c r="H6" s="14"/>
      <c r="I6" s="14">
        <v>0.0</v>
      </c>
      <c r="J6" s="19">
        <v>2798.24</v>
      </c>
      <c r="K6" s="20">
        <v>13800.82</v>
      </c>
      <c r="L6" s="14">
        <v>12032.44</v>
      </c>
      <c r="M6" s="14">
        <v>13924.28</v>
      </c>
      <c r="N6" s="17">
        <f t="shared" si="1"/>
        <v>42555.78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>
        <v>0.0</v>
      </c>
      <c r="J7" s="21">
        <v>235.19</v>
      </c>
      <c r="K7" s="21">
        <v>1864.87</v>
      </c>
      <c r="L7" s="21">
        <v>5417.0</v>
      </c>
      <c r="M7" s="21">
        <v>5880.0</v>
      </c>
      <c r="N7" s="17">
        <f t="shared" si="1"/>
        <v>13397.06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9935.75</v>
      </c>
      <c r="J8" s="23">
        <f t="shared" si="2"/>
        <v>175183.53</v>
      </c>
      <c r="K8" s="23">
        <f t="shared" si="2"/>
        <v>348623.25</v>
      </c>
      <c r="L8" s="23">
        <f t="shared" si="2"/>
        <v>271076.6</v>
      </c>
      <c r="M8" s="23">
        <f t="shared" si="2"/>
        <v>266534.72</v>
      </c>
      <c r="N8" s="24">
        <f t="shared" si="1"/>
        <v>1071353.85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>
        <v>2215.88</v>
      </c>
      <c r="J12" s="25">
        <v>35105.62</v>
      </c>
      <c r="K12" s="27">
        <v>77157.75</v>
      </c>
      <c r="L12" s="12">
        <v>68827.62</v>
      </c>
      <c r="M12" s="28">
        <v>79550.43</v>
      </c>
      <c r="N12" s="29">
        <f t="shared" ref="N12:N13" si="4">SUM(B12:M12)</f>
        <v>262857.3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7719.87</v>
      </c>
      <c r="J13" s="30">
        <f t="shared" si="3"/>
        <v>140077.91</v>
      </c>
      <c r="K13" s="30">
        <f t="shared" si="3"/>
        <v>271465.5</v>
      </c>
      <c r="L13" s="30">
        <f t="shared" si="3"/>
        <v>202248.98</v>
      </c>
      <c r="M13" s="30">
        <f t="shared" si="3"/>
        <v>186984.29</v>
      </c>
      <c r="N13" s="31">
        <f t="shared" si="4"/>
        <v>808496.55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2"/>
      <c r="M18" s="12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>
        <v>6469.16</v>
      </c>
      <c r="J19" s="20">
        <v>111875.34</v>
      </c>
      <c r="K19" s="27">
        <v>204359.31</v>
      </c>
      <c r="L19" s="12">
        <v>64376.0</v>
      </c>
      <c r="M19" s="12">
        <v>87292.0</v>
      </c>
      <c r="N19" s="33">
        <f t="shared" si="5"/>
        <v>474371.81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/>
      <c r="F22" s="37"/>
      <c r="G22" s="37"/>
      <c r="H22" s="37"/>
      <c r="I22" s="38">
        <v>575.09</v>
      </c>
      <c r="J22" s="38">
        <v>9948.42</v>
      </c>
      <c r="K22" s="38">
        <v>20444.4</v>
      </c>
      <c r="L22" s="38">
        <v>16194.0</v>
      </c>
      <c r="M22" s="38">
        <v>16205.53</v>
      </c>
      <c r="N22" s="33">
        <f t="shared" si="5"/>
        <v>63367.44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29</v>
      </c>
      <c r="B24" s="20"/>
      <c r="C24" s="20"/>
      <c r="D24" s="20"/>
      <c r="E24" s="20"/>
      <c r="F24" s="20"/>
      <c r="G24" s="20"/>
      <c r="H24" s="20"/>
      <c r="I24" s="20">
        <v>21.47</v>
      </c>
      <c r="J24" s="20">
        <v>733.31</v>
      </c>
      <c r="K24" s="20">
        <v>1920.98</v>
      </c>
      <c r="L24" s="20">
        <v>575.15</v>
      </c>
      <c r="M24" s="39">
        <v>575.15</v>
      </c>
      <c r="N24" s="33">
        <f t="shared" si="5"/>
        <v>3826.06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2"/>
      <c r="M25" s="12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20"/>
      <c r="C27" s="20"/>
      <c r="D27" s="20"/>
      <c r="E27" s="20"/>
      <c r="F27" s="20"/>
      <c r="G27" s="20"/>
      <c r="H27" s="20"/>
      <c r="I27" s="20"/>
      <c r="J27" s="20">
        <v>220.0</v>
      </c>
      <c r="K27" s="20">
        <v>470.0</v>
      </c>
      <c r="L27" s="20">
        <v>875.0</v>
      </c>
      <c r="M27" s="20">
        <v>1145.0</v>
      </c>
      <c r="N27" s="33">
        <f t="shared" si="5"/>
        <v>2710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34</v>
      </c>
      <c r="B29" s="37"/>
      <c r="C29" s="37"/>
      <c r="D29" s="37"/>
      <c r="E29" s="37"/>
      <c r="F29" s="37"/>
      <c r="G29" s="37"/>
      <c r="H29" s="37"/>
      <c r="I29" s="38"/>
      <c r="J29" s="37"/>
      <c r="K29" s="38">
        <v>2789.0</v>
      </c>
      <c r="L29" s="38">
        <v>7639.0</v>
      </c>
      <c r="M29" s="38">
        <v>5867.0</v>
      </c>
      <c r="N29" s="33">
        <f t="shared" si="5"/>
        <v>16295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2">
        <f t="shared" ref="B30:M30" si="6">SUM(B17:B29)</f>
        <v>0</v>
      </c>
      <c r="C30" s="42">
        <f t="shared" si="6"/>
        <v>0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7065.72</v>
      </c>
      <c r="J30" s="42">
        <f t="shared" si="6"/>
        <v>122777.07</v>
      </c>
      <c r="K30" s="42">
        <f t="shared" si="6"/>
        <v>229983.69</v>
      </c>
      <c r="L30" s="42">
        <f t="shared" si="6"/>
        <v>89659.15</v>
      </c>
      <c r="M30" s="42">
        <f t="shared" si="6"/>
        <v>111084.68</v>
      </c>
      <c r="N30" s="43">
        <f t="shared" si="5"/>
        <v>560570.31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6">
        <f t="shared" ref="B33:M33" si="7">MINUS(B13,B30)</f>
        <v>0</v>
      </c>
      <c r="C33" s="46">
        <f t="shared" si="7"/>
        <v>0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654.15</v>
      </c>
      <c r="J33" s="46">
        <f t="shared" si="7"/>
        <v>17300.84</v>
      </c>
      <c r="K33" s="46">
        <f t="shared" si="7"/>
        <v>41481.81</v>
      </c>
      <c r="L33" s="46">
        <f t="shared" si="7"/>
        <v>112589.83</v>
      </c>
      <c r="M33" s="46">
        <f t="shared" si="7"/>
        <v>75899.61</v>
      </c>
      <c r="N33" s="47">
        <f>SUM(B33:M33)</f>
        <v>247926.24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474371.81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57"/>
      <c r="C5" s="25"/>
      <c r="D5" s="12"/>
      <c r="E5" s="25"/>
      <c r="F5" s="25"/>
      <c r="G5" s="58"/>
      <c r="H5" s="59"/>
      <c r="I5" s="60"/>
      <c r="J5" s="61"/>
      <c r="K5" s="59"/>
      <c r="L5" s="58"/>
      <c r="M5" s="58"/>
      <c r="N5" s="17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57"/>
      <c r="C6" s="25"/>
      <c r="D6" s="12"/>
      <c r="E6" s="25"/>
      <c r="F6" s="12"/>
      <c r="G6" s="25"/>
      <c r="H6" s="58"/>
      <c r="I6" s="58"/>
      <c r="J6" s="62"/>
      <c r="K6" s="27"/>
      <c r="L6" s="58"/>
      <c r="M6" s="58"/>
      <c r="N6" s="17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2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2"/>
      <c r="M18" s="12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2"/>
      <c r="M19" s="12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/>
      <c r="F22" s="37"/>
      <c r="G22" s="37"/>
      <c r="H22" s="37"/>
      <c r="I22" s="37"/>
      <c r="J22" s="37"/>
      <c r="K22" s="37"/>
      <c r="L22" s="37"/>
      <c r="M22" s="37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2"/>
      <c r="M25" s="12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2">
        <f t="shared" ref="B30:M30" si="6">SUM(B17:B29)</f>
        <v>0</v>
      </c>
      <c r="C30" s="42">
        <f t="shared" si="6"/>
        <v>0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0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3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6">
        <f t="shared" ref="B33:M33" si="7">MINUS(B13,B30)</f>
        <v>0</v>
      </c>
      <c r="C33" s="46">
        <f t="shared" si="7"/>
        <v>0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0</v>
      </c>
      <c r="J33" s="46">
        <f t="shared" si="7"/>
        <v>0</v>
      </c>
      <c r="K33" s="46">
        <f t="shared" si="7"/>
        <v>0</v>
      </c>
      <c r="L33" s="46">
        <f t="shared" si="7"/>
        <v>0</v>
      </c>
      <c r="M33" s="46">
        <f t="shared" si="7"/>
        <v>0</v>
      </c>
      <c r="N33" s="47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57"/>
      <c r="C5" s="25"/>
      <c r="D5" s="12"/>
      <c r="E5" s="25"/>
      <c r="F5" s="25"/>
      <c r="G5" s="58"/>
      <c r="H5" s="59"/>
      <c r="I5" s="60"/>
      <c r="J5" s="61"/>
      <c r="K5" s="59"/>
      <c r="L5" s="58"/>
      <c r="M5" s="58"/>
      <c r="N5" s="17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57"/>
      <c r="C6" s="25"/>
      <c r="D6" s="12"/>
      <c r="E6" s="25"/>
      <c r="F6" s="12"/>
      <c r="G6" s="25"/>
      <c r="H6" s="58"/>
      <c r="I6" s="58"/>
      <c r="J6" s="62"/>
      <c r="K6" s="27"/>
      <c r="L6" s="58"/>
      <c r="M6" s="58"/>
      <c r="N6" s="17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2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2"/>
      <c r="M18" s="12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2"/>
      <c r="M19" s="12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/>
      <c r="F22" s="37"/>
      <c r="G22" s="37"/>
      <c r="H22" s="37"/>
      <c r="I22" s="37"/>
      <c r="J22" s="37"/>
      <c r="K22" s="37"/>
      <c r="L22" s="37"/>
      <c r="M22" s="37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2"/>
      <c r="M25" s="12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2">
        <f t="shared" ref="B30:M30" si="6">SUM(B17:B29)</f>
        <v>0</v>
      </c>
      <c r="C30" s="42">
        <f t="shared" si="6"/>
        <v>0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0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3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6">
        <f t="shared" ref="B33:M33" si="7">MINUS(B13,B30)</f>
        <v>0</v>
      </c>
      <c r="C33" s="46">
        <f t="shared" si="7"/>
        <v>0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0</v>
      </c>
      <c r="J33" s="46">
        <f t="shared" si="7"/>
        <v>0</v>
      </c>
      <c r="K33" s="46">
        <f t="shared" si="7"/>
        <v>0</v>
      </c>
      <c r="L33" s="46">
        <f t="shared" si="7"/>
        <v>0</v>
      </c>
      <c r="M33" s="46">
        <f t="shared" si="7"/>
        <v>0</v>
      </c>
      <c r="N33" s="47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