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</sheets>
  <definedNames/>
  <calcPr/>
</workbook>
</file>

<file path=xl/sharedStrings.xml><?xml version="1.0" encoding="utf-8"?>
<sst xmlns="http://schemas.openxmlformats.org/spreadsheetml/2006/main" count="330" uniqueCount="43">
  <si>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</si>
  <si>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</si>
  <si>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</si>
  <si>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</si>
  <si>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</si>
  <si>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</si>
  <si>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</si>
  <si>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</si>
  <si>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</si>
  <si>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</si>
  <si>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</si>
  <si>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</si>
  <si>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</si>
  <si>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</si>
  <si>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</si>
  <si>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</si>
  <si>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</si>
  <si>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</si>
  <si>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</si>
  <si>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</si>
  <si>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</si>
  <si>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</si>
  <si>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TikTok</t>
  </si>
  <si>
    <t>Google</t>
  </si>
  <si>
    <t>Facebook</t>
  </si>
  <si>
    <t>Snapchat</t>
  </si>
  <si>
    <t>Pinterest</t>
  </si>
  <si>
    <t>Processing Fees</t>
  </si>
  <si>
    <t>Content Costs</t>
  </si>
  <si>
    <t>355.1 </t>
  </si>
  <si>
    <t xml:space="preserve">Shopify Bill </t>
  </si>
  <si>
    <t>(Klaviyo, TripleWhale)</t>
  </si>
  <si>
    <t xml:space="preserve">3rd Party Softwares </t>
  </si>
  <si>
    <t>Virtual Assistant(s)</t>
  </si>
  <si>
    <t>Email Agency</t>
  </si>
  <si>
    <t>*ADD MORE ROWS IF NEEDED*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</si>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</sst>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.00"/>
  </numFmts>
  <fonts count="11">
    <font>
      <sz val="10.0"/>
      <color rgb="FF000000"/>
      <name val="Calibri"/>
      <scheme val="minor"/>
    </font>
    <font>
      <b/>
      <sz val="12.0"/>
      <color rgb="FFFF9900"/>
      <name val="Montserrat"/>
    </font>
    <font>
      <color theme="1"/>
      <name val="Montserrat"/>
    </font>
    <font>
      <i/>
      <u/>
      <color theme="1"/>
      <name val="Montserrat"/>
    </font>
    <font>
      <b/>
      <color rgb="FFFFFFFF"/>
      <name val="Montserrat"/>
    </font>
    <font>
      <sz val="10.0"/>
      <color theme="1"/>
      <name val="Montserrat"/>
    </font>
    <font>
      <sz val="10.0"/>
      <color rgb="FF000000"/>
      <name val="Montserrat"/>
    </font>
    <font>
      <sz val="10.0"/>
      <color rgb="FF303030"/>
      <name val="Montserrat"/>
    </font>
    <font>
      <b/>
      <color theme="1"/>
      <name val="Montserrat"/>
    </font>
    <font>
      <b/>
      <sz val="10.0"/>
      <color theme="1"/>
      <name val="Montserrat"/>
    </font>
    <font>
      <color rgb="FF00000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C496EA"/>
        <bgColor rgb="FFC496E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3" fontId="4" numFmtId="0" xfId="0" applyAlignment="1" applyFill="1" applyFont="1">
      <alignment vertical="bottom"/>
    </xf>
    <xf borderId="0" fillId="3" fontId="4" numFmtId="0" xfId="0" applyAlignment="1" applyFont="1">
      <alignment readingOrder="0"/>
    </xf>
    <xf borderId="0" fillId="3" fontId="4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6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7" numFmtId="164" xfId="0" applyAlignment="1" applyFont="1" applyNumberFormat="1">
      <alignment horizontal="right" readingOrder="0" shrinkToFit="0" wrapText="0"/>
    </xf>
    <xf borderId="0" fillId="0" fontId="7" numFmtId="164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right" readingOrder="0"/>
    </xf>
    <xf borderId="0" fillId="4" fontId="5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7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shrinkToFit="0" wrapText="0"/>
    </xf>
    <xf borderId="0" fillId="4" fontId="8" numFmtId="0" xfId="0" applyAlignment="1" applyFont="1">
      <alignment vertical="bottom"/>
    </xf>
    <xf borderId="0" fillId="5" fontId="8" numFmtId="164" xfId="0" applyAlignment="1" applyFill="1" applyFont="1" applyNumberFormat="1">
      <alignment readingOrder="0" shrinkToFit="0" wrapText="0"/>
    </xf>
    <xf borderId="0" fillId="5" fontId="8" numFmtId="164" xfId="0" applyAlignment="1" applyFont="1" applyNumberFormat="1">
      <alignment readingOrder="0" vertical="bottom"/>
    </xf>
    <xf borderId="0" fillId="6" fontId="6" numFmtId="164" xfId="0" applyAlignment="1" applyFill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/>
    </xf>
    <xf borderId="0" fillId="6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 vertical="bottom"/>
    </xf>
    <xf borderId="0" fillId="4" fontId="5" numFmtId="164" xfId="0" applyAlignment="1" applyFont="1" applyNumberFormat="1">
      <alignment horizontal="right" readingOrder="0" vertical="bottom"/>
    </xf>
    <xf borderId="0" fillId="4" fontId="9" numFmtId="164" xfId="0" applyAlignment="1" applyFont="1" applyNumberFormat="1">
      <alignment horizontal="right" vertical="bottom"/>
    </xf>
    <xf borderId="0" fillId="4" fontId="9" numFmtId="164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4" fontId="5" numFmtId="165" xfId="0" applyAlignment="1" applyFont="1" applyNumberFormat="1">
      <alignment horizontal="right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/>
    </xf>
    <xf borderId="0" fillId="0" fontId="5" numFmtId="164" xfId="0" applyAlignment="1" applyFont="1" applyNumberFormat="1">
      <alignment horizontal="right" readingOrder="0"/>
    </xf>
    <xf borderId="0" fillId="6" fontId="7" numFmtId="16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10" numFmtId="0" xfId="0" applyAlignment="1" applyFont="1">
      <alignment readingOrder="0"/>
    </xf>
    <xf borderId="0" fillId="4" fontId="9" numFmtId="165" xfId="0" applyAlignment="1" applyFont="1" applyNumberFormat="1">
      <alignment horizontal="right" vertical="bottom"/>
    </xf>
    <xf borderId="0" fillId="4" fontId="9" numFmtId="165" xfId="0" applyAlignment="1" applyFont="1" applyNumberFormat="1">
      <alignment horizontal="right" readingOrder="0" vertical="bottom"/>
    </xf>
    <xf borderId="0" fillId="6" fontId="2" numFmtId="0" xfId="0" applyAlignment="1" applyFont="1">
      <alignment vertical="bottom"/>
    </xf>
    <xf borderId="0" fillId="3" fontId="4" numFmtId="0" xfId="0" applyAlignment="1" applyFont="1">
      <alignment horizontal="right" readingOrder="0" vertical="bottom"/>
    </xf>
    <xf borderId="0" fillId="4" fontId="8" numFmtId="165" xfId="0" applyAlignment="1" applyFont="1" applyNumberFormat="1">
      <alignment horizontal="right" vertical="bottom"/>
    </xf>
    <xf borderId="0" fillId="4" fontId="8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3" fontId="4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6" fontId="10" numFmtId="0" xfId="0" applyAlignment="1" applyFont="1">
      <alignment vertical="bottom"/>
    </xf>
    <xf borderId="0" fillId="6" fontId="10" numFmtId="165" xfId="0" applyAlignment="1" applyFont="1" applyNumberFormat="1">
      <alignment horizontal="right" vertical="bottom"/>
    </xf>
    <xf borderId="0" fillId="6" fontId="2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'2026'!$A$37:$A$41</c:f>
            </c:strRef>
          </c:cat>
          <c:val>
            <c:numRef>
              <c:f>'2026'!$B$37:$B$41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'2025'!$A$37:$A$41</c:f>
            </c:strRef>
          </c:cat>
          <c:val>
            <c:numRef>
              <c:f>'2025'!$B$37:$B$41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'2024'!$A$37:$A$41</c:f>
            </c:strRef>
          </c:cat>
          <c:val>
            <c:numRef>
              <c:f>'2024'!$B$37:$B$41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'2023'!$A$37:$A$41</c:f>
            </c:strRef>
          </c:cat>
          <c:val>
            <c:numRef>
              <c:f>'2023'!$B$37:$B$41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809625</xdr:colOff>
      <xdr:row>19</xdr:row>
      <xdr:rowOff>200025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2026.0</v>
      </c>
      <c r="C3" s="7">
        <v>2026.0</v>
      </c>
      <c r="D3" s="7">
        <v>2026.0</v>
      </c>
      <c r="E3" s="7">
        <v>2026.0</v>
      </c>
      <c r="F3" s="7">
        <v>2026.0</v>
      </c>
      <c r="G3" s="7">
        <v>2026.0</v>
      </c>
      <c r="H3" s="7">
        <v>2026.0</v>
      </c>
      <c r="I3" s="7">
        <v>2026.0</v>
      </c>
      <c r="J3" s="7">
        <v>2026.0</v>
      </c>
      <c r="K3" s="7">
        <v>2026.0</v>
      </c>
      <c r="L3" s="7">
        <v>2026.0</v>
      </c>
      <c r="M3" s="7">
        <v>2026.0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>
        <v>44928.06</v>
      </c>
      <c r="C5" s="12">
        <v>68765.07</v>
      </c>
      <c r="D5" s="13">
        <v>67612.69</v>
      </c>
      <c r="E5" s="12"/>
      <c r="F5" s="12"/>
      <c r="G5" s="14"/>
      <c r="H5" s="15"/>
      <c r="I5" s="15"/>
      <c r="J5" s="16"/>
      <c r="K5" s="15"/>
      <c r="L5" s="14"/>
      <c r="M5" s="14"/>
      <c r="N5" s="17">
        <f t="shared" ref="N5:N8" si="1">SUM(B5:M5)</f>
        <v>181305.82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>
        <v>968.4</v>
      </c>
      <c r="C6" s="12">
        <v>783.49</v>
      </c>
      <c r="D6" s="13">
        <v>1530.22</v>
      </c>
      <c r="E6" s="12"/>
      <c r="F6" s="13"/>
      <c r="G6" s="12"/>
      <c r="H6" s="14"/>
      <c r="I6" s="14"/>
      <c r="J6" s="19"/>
      <c r="K6" s="20"/>
      <c r="L6" s="14"/>
      <c r="M6" s="14"/>
      <c r="N6" s="17">
        <f t="shared" si="1"/>
        <v>3282.11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>
        <v>703.78</v>
      </c>
      <c r="C7" s="21">
        <v>101.58</v>
      </c>
      <c r="D7" s="21">
        <v>39.37</v>
      </c>
      <c r="E7" s="21"/>
      <c r="F7" s="21"/>
      <c r="G7" s="21"/>
      <c r="H7" s="21"/>
      <c r="I7" s="21"/>
      <c r="J7" s="21"/>
      <c r="K7" s="21"/>
      <c r="L7" s="21"/>
      <c r="M7" s="21"/>
      <c r="N7" s="17">
        <f t="shared" si="1"/>
        <v>844.73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43255.88</v>
      </c>
      <c r="C8" s="23">
        <f t="shared" si="2"/>
        <v>67880</v>
      </c>
      <c r="D8" s="23">
        <f t="shared" si="2"/>
        <v>66043.1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177178.98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2026.0</v>
      </c>
      <c r="C10" s="7">
        <v>2026.0</v>
      </c>
      <c r="D10" s="7">
        <v>2026.0</v>
      </c>
      <c r="E10" s="7">
        <v>2026.0</v>
      </c>
      <c r="F10" s="7">
        <v>2026.0</v>
      </c>
      <c r="G10" s="7">
        <v>2026.0</v>
      </c>
      <c r="H10" s="7">
        <v>2026.0</v>
      </c>
      <c r="I10" s="7">
        <v>2026.0</v>
      </c>
      <c r="J10" s="7">
        <v>2026.0</v>
      </c>
      <c r="K10" s="7">
        <v>2026.0</v>
      </c>
      <c r="L10" s="7">
        <v>2026.0</v>
      </c>
      <c r="M10" s="7">
        <v>2026.0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5">
        <v>11704.8</v>
      </c>
      <c r="C12" s="25">
        <v>16042.8</v>
      </c>
      <c r="D12" s="25">
        <v>12356.4</v>
      </c>
      <c r="E12" s="25"/>
      <c r="F12" s="25"/>
      <c r="G12" s="25"/>
      <c r="H12" s="26"/>
      <c r="I12" s="25"/>
      <c r="J12" s="25"/>
      <c r="K12" s="27"/>
      <c r="L12" s="13"/>
      <c r="M12" s="28"/>
      <c r="N12" s="29">
        <f t="shared" ref="N12:N13" si="4">SUM(B12:M12)</f>
        <v>40104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31551.08</v>
      </c>
      <c r="C13" s="30">
        <f t="shared" si="3"/>
        <v>51837.2</v>
      </c>
      <c r="D13" s="30">
        <f t="shared" si="3"/>
        <v>53686.7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137074.98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2026.0</v>
      </c>
      <c r="C15" s="7">
        <v>2026.0</v>
      </c>
      <c r="D15" s="7">
        <v>2026.0</v>
      </c>
      <c r="E15" s="7">
        <v>2026.0</v>
      </c>
      <c r="F15" s="7">
        <v>2026.0</v>
      </c>
      <c r="G15" s="7">
        <v>2026.0</v>
      </c>
      <c r="H15" s="7">
        <v>2026.0</v>
      </c>
      <c r="I15" s="7">
        <v>2026.0</v>
      </c>
      <c r="J15" s="7">
        <v>2026.0</v>
      </c>
      <c r="K15" s="7">
        <v>2026.0</v>
      </c>
      <c r="L15" s="7">
        <v>2026.0</v>
      </c>
      <c r="M15" s="7">
        <v>2026.0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22</v>
      </c>
      <c r="B17" s="20">
        <v>0.0</v>
      </c>
      <c r="C17" s="20">
        <v>0.0</v>
      </c>
      <c r="D17" s="20">
        <v>0.0</v>
      </c>
      <c r="E17" s="20"/>
      <c r="F17" s="20"/>
      <c r="G17" s="20"/>
      <c r="H17" s="20"/>
      <c r="I17" s="20"/>
      <c r="J17" s="20"/>
      <c r="K17" s="20"/>
      <c r="L17" s="20"/>
      <c r="M17" s="20"/>
      <c r="N17" s="33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4" t="s">
        <v>23</v>
      </c>
      <c r="B18" s="20">
        <v>0.0</v>
      </c>
      <c r="C18" s="20">
        <v>1190.93</v>
      </c>
      <c r="D18" s="20">
        <v>2243.83</v>
      </c>
      <c r="E18" s="20"/>
      <c r="F18" s="20"/>
      <c r="G18" s="20"/>
      <c r="H18" s="20"/>
      <c r="I18" s="20"/>
      <c r="J18" s="20"/>
      <c r="K18" s="27"/>
      <c r="L18" s="13"/>
      <c r="M18" s="13"/>
      <c r="N18" s="33">
        <f t="shared" si="5"/>
        <v>3434.76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24</v>
      </c>
      <c r="B19" s="20">
        <v>20498.56</v>
      </c>
      <c r="C19" s="20">
        <v>25201.62</v>
      </c>
      <c r="D19" s="20">
        <v>26101.53</v>
      </c>
      <c r="E19" s="20"/>
      <c r="F19" s="20"/>
      <c r="G19" s="20"/>
      <c r="H19" s="20"/>
      <c r="I19" s="20"/>
      <c r="J19" s="20"/>
      <c r="K19" s="27"/>
      <c r="L19" s="13"/>
      <c r="M19" s="13"/>
      <c r="N19" s="33">
        <f t="shared" si="5"/>
        <v>71801.71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4" t="s">
        <v>25</v>
      </c>
      <c r="B20" s="20">
        <v>0.0</v>
      </c>
      <c r="C20" s="20">
        <v>0.0</v>
      </c>
      <c r="D20" s="20">
        <v>0.0</v>
      </c>
      <c r="E20" s="20"/>
      <c r="F20" s="20"/>
      <c r="G20" s="20"/>
      <c r="H20" s="20"/>
      <c r="I20" s="20"/>
      <c r="J20" s="20"/>
      <c r="K20" s="20"/>
      <c r="L20" s="20"/>
      <c r="M20" s="20"/>
      <c r="N20" s="33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26</v>
      </c>
      <c r="B21" s="20">
        <v>0.0</v>
      </c>
      <c r="C21" s="20">
        <v>0.0</v>
      </c>
      <c r="D21" s="20">
        <v>0.0</v>
      </c>
      <c r="E21" s="20"/>
      <c r="F21" s="20"/>
      <c r="G21" s="20"/>
      <c r="H21" s="20"/>
      <c r="I21" s="20"/>
      <c r="J21" s="20"/>
      <c r="K21" s="20"/>
      <c r="L21" s="20"/>
      <c r="M21" s="20"/>
      <c r="N21" s="33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27</v>
      </c>
      <c r="B22" s="20">
        <v>1559.2</v>
      </c>
      <c r="C22" s="20">
        <v>2459.65</v>
      </c>
      <c r="D22" s="20">
        <v>2107.76</v>
      </c>
      <c r="E22" s="20"/>
      <c r="F22" s="37"/>
      <c r="G22" s="37"/>
      <c r="H22" s="37"/>
      <c r="I22" s="38"/>
      <c r="J22" s="37"/>
      <c r="K22" s="37"/>
      <c r="L22" s="37"/>
      <c r="M22" s="37"/>
      <c r="N22" s="33">
        <f t="shared" si="5"/>
        <v>6126.61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2" t="s">
        <v>28</v>
      </c>
      <c r="B23" s="20">
        <v>0.0</v>
      </c>
      <c r="C23" s="20">
        <v>0.0</v>
      </c>
      <c r="D23" s="20" t="s">
        <v>29</v>
      </c>
      <c r="E23" s="20"/>
      <c r="F23" s="20"/>
      <c r="G23" s="20"/>
      <c r="H23" s="20"/>
      <c r="I23" s="20"/>
      <c r="J23" s="20"/>
      <c r="K23" s="20"/>
      <c r="L23" s="20"/>
      <c r="M23" s="39"/>
      <c r="N23" s="33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2" t="s">
        <v>30</v>
      </c>
      <c r="B24" s="20">
        <v>512.9</v>
      </c>
      <c r="C24" s="20">
        <v>256.83</v>
      </c>
      <c r="D24" s="20">
        <v>470.58</v>
      </c>
      <c r="E24" s="20"/>
      <c r="F24" s="20"/>
      <c r="G24" s="20"/>
      <c r="H24" s="20"/>
      <c r="I24" s="20"/>
      <c r="J24" s="20"/>
      <c r="K24" s="20"/>
      <c r="L24" s="20"/>
      <c r="M24" s="39"/>
      <c r="N24" s="33">
        <f t="shared" si="5"/>
        <v>1240.31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2" t="s">
        <v>31</v>
      </c>
      <c r="B25" s="20">
        <v>0.0</v>
      </c>
      <c r="C25" s="20">
        <v>500.0</v>
      </c>
      <c r="D25" s="20">
        <v>150.0</v>
      </c>
      <c r="E25" s="20"/>
      <c r="F25" s="20"/>
      <c r="G25" s="20"/>
      <c r="H25" s="20"/>
      <c r="I25" s="20"/>
      <c r="J25" s="20"/>
      <c r="K25" s="27"/>
      <c r="L25" s="13"/>
      <c r="M25" s="13"/>
      <c r="N25" s="33">
        <f t="shared" si="5"/>
        <v>650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0" t="s">
        <v>32</v>
      </c>
      <c r="B26" s="20">
        <v>0.0</v>
      </c>
      <c r="C26" s="20">
        <v>0.0</v>
      </c>
      <c r="D26" s="20">
        <v>0.0</v>
      </c>
      <c r="E26" s="20"/>
      <c r="F26" s="20"/>
      <c r="G26" s="20"/>
      <c r="H26" s="20"/>
      <c r="I26" s="20"/>
      <c r="J26" s="20"/>
      <c r="K26" s="20"/>
      <c r="L26" s="20"/>
      <c r="M26" s="20"/>
      <c r="N26" s="33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33</v>
      </c>
      <c r="B27" s="20">
        <v>136.35</v>
      </c>
      <c r="C27" s="20">
        <v>220.0</v>
      </c>
      <c r="D27" s="20">
        <v>450.0</v>
      </c>
      <c r="E27" s="20"/>
      <c r="F27" s="20"/>
      <c r="G27" s="20"/>
      <c r="H27" s="20"/>
      <c r="I27" s="20"/>
      <c r="J27" s="20"/>
      <c r="K27" s="20"/>
      <c r="L27" s="20"/>
      <c r="M27" s="20"/>
      <c r="N27" s="33">
        <f t="shared" si="5"/>
        <v>806.35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34</v>
      </c>
      <c r="B28" s="41">
        <v>0.0</v>
      </c>
      <c r="C28" s="41">
        <v>0.0</v>
      </c>
      <c r="D28" s="41">
        <v>0.0</v>
      </c>
      <c r="E28" s="20"/>
      <c r="F28" s="20"/>
      <c r="G28" s="20"/>
      <c r="H28" s="20"/>
      <c r="I28" s="20"/>
      <c r="J28" s="20"/>
      <c r="K28" s="20"/>
      <c r="L28" s="20"/>
      <c r="M28" s="20"/>
      <c r="N28" s="33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2" t="s">
        <v>35</v>
      </c>
      <c r="B29" s="37"/>
      <c r="C29" s="37"/>
      <c r="D29" s="37"/>
      <c r="E29" s="37"/>
      <c r="F29" s="37"/>
      <c r="G29" s="37"/>
      <c r="H29" s="37"/>
      <c r="I29" s="38"/>
      <c r="J29" s="37"/>
      <c r="K29" s="37"/>
      <c r="L29" s="37"/>
      <c r="M29" s="37"/>
      <c r="N29" s="33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36</v>
      </c>
      <c r="B30" s="43">
        <f t="shared" ref="B30:M30" si="6">SUM(B17:B29)</f>
        <v>22707.01</v>
      </c>
      <c r="C30" s="43">
        <f t="shared" si="6"/>
        <v>29829.03</v>
      </c>
      <c r="D30" s="43">
        <f t="shared" si="6"/>
        <v>31523.7</v>
      </c>
      <c r="E30" s="43">
        <f t="shared" si="6"/>
        <v>0</v>
      </c>
      <c r="F30" s="43">
        <f t="shared" si="6"/>
        <v>0</v>
      </c>
      <c r="G30" s="43">
        <f t="shared" si="6"/>
        <v>0</v>
      </c>
      <c r="H30" s="43">
        <f t="shared" si="6"/>
        <v>0</v>
      </c>
      <c r="I30" s="43">
        <f t="shared" si="6"/>
        <v>0</v>
      </c>
      <c r="J30" s="43">
        <f t="shared" si="6"/>
        <v>0</v>
      </c>
      <c r="K30" s="43">
        <f t="shared" si="6"/>
        <v>0</v>
      </c>
      <c r="L30" s="43">
        <f t="shared" si="6"/>
        <v>0</v>
      </c>
      <c r="M30" s="43">
        <f t="shared" si="6"/>
        <v>0</v>
      </c>
      <c r="N30" s="44">
        <f t="shared" si="5"/>
        <v>84059.74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5"/>
      <c r="F31" s="45"/>
      <c r="G31" s="45"/>
      <c r="H31" s="45"/>
      <c r="I31" s="45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37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6" t="s">
        <v>38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39</v>
      </c>
      <c r="B33" s="47">
        <f t="shared" ref="B33:M33" si="7">MINUS(B13,B30)</f>
        <v>8844.07</v>
      </c>
      <c r="C33" s="47">
        <f t="shared" si="7"/>
        <v>22008.17</v>
      </c>
      <c r="D33" s="47">
        <f t="shared" si="7"/>
        <v>22163</v>
      </c>
      <c r="E33" s="47">
        <f t="shared" si="7"/>
        <v>0</v>
      </c>
      <c r="F33" s="47">
        <f t="shared" si="7"/>
        <v>0</v>
      </c>
      <c r="G33" s="47">
        <f t="shared" si="7"/>
        <v>0</v>
      </c>
      <c r="H33" s="47">
        <f t="shared" si="7"/>
        <v>0</v>
      </c>
      <c r="I33" s="47">
        <f t="shared" si="7"/>
        <v>0</v>
      </c>
      <c r="J33" s="47">
        <f t="shared" si="7"/>
        <v>0</v>
      </c>
      <c r="K33" s="47">
        <f t="shared" si="7"/>
        <v>0</v>
      </c>
      <c r="L33" s="47">
        <f t="shared" si="7"/>
        <v>0</v>
      </c>
      <c r="M33" s="47">
        <f t="shared" si="7"/>
        <v>0</v>
      </c>
      <c r="N33" s="48">
        <f>SUM(B33:M33)</f>
        <v>53015.24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0" t="s">
        <v>40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1">
        <f>SUM(N19)</f>
        <v>71801.71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41</v>
      </c>
      <c r="B38" s="51">
        <f>SUM(N18)</f>
        <v>3434.76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42</v>
      </c>
      <c r="B39" s="52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1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1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/>
      <c r="B48" s="5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5"/>
      <c r="B50" s="5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5"/>
      <c r="B51" s="5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2025.0</v>
      </c>
      <c r="C3" s="7">
        <v>2025.0</v>
      </c>
      <c r="D3" s="7">
        <v>2025.0</v>
      </c>
      <c r="E3" s="7">
        <v>2025.0</v>
      </c>
      <c r="F3" s="7">
        <v>2025.0</v>
      </c>
      <c r="G3" s="7">
        <v>2025.0</v>
      </c>
      <c r="H3" s="7">
        <v>2025.0</v>
      </c>
      <c r="I3" s="7">
        <v>2025.0</v>
      </c>
      <c r="J3" s="7">
        <v>2025.0</v>
      </c>
      <c r="K3" s="7">
        <v>2025.0</v>
      </c>
      <c r="L3" s="7">
        <v>2025.0</v>
      </c>
      <c r="M3" s="7">
        <v>2025.0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2"/>
      <c r="D5" s="13"/>
      <c r="E5" s="12">
        <v>144516.78</v>
      </c>
      <c r="F5" s="12">
        <v>123897.37</v>
      </c>
      <c r="G5" s="14">
        <v>99345.13</v>
      </c>
      <c r="H5" s="15">
        <v>51756.73</v>
      </c>
      <c r="I5" s="15">
        <v>21424.85</v>
      </c>
      <c r="J5" s="16">
        <v>16568.22</v>
      </c>
      <c r="K5" s="15">
        <v>30702.34</v>
      </c>
      <c r="L5" s="14">
        <v>51848.72</v>
      </c>
      <c r="M5" s="14">
        <v>60203.0</v>
      </c>
      <c r="N5" s="17">
        <f t="shared" ref="N5:N8" si="1">SUM(B5:M5)</f>
        <v>600263.14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/>
      <c r="C6" s="12"/>
      <c r="D6" s="13"/>
      <c r="E6" s="12">
        <v>953.18</v>
      </c>
      <c r="F6" s="13">
        <v>898.9</v>
      </c>
      <c r="G6" s="12">
        <v>1030.11</v>
      </c>
      <c r="H6" s="14">
        <v>671.61</v>
      </c>
      <c r="I6" s="14">
        <v>207.45</v>
      </c>
      <c r="J6" s="19">
        <v>95.21</v>
      </c>
      <c r="K6" s="20">
        <v>1268.8</v>
      </c>
      <c r="L6" s="14">
        <v>629.39</v>
      </c>
      <c r="M6" s="14">
        <v>1425.23</v>
      </c>
      <c r="N6" s="17">
        <f t="shared" si="1"/>
        <v>7179.88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/>
      <c r="C7" s="21"/>
      <c r="D7" s="21"/>
      <c r="E7" s="21">
        <v>414.6</v>
      </c>
      <c r="F7" s="21">
        <v>366.85</v>
      </c>
      <c r="G7" s="21">
        <v>303.53</v>
      </c>
      <c r="H7" s="21">
        <v>0.0</v>
      </c>
      <c r="I7" s="21">
        <v>154.66</v>
      </c>
      <c r="J7" s="21">
        <v>141.27</v>
      </c>
      <c r="K7" s="21">
        <v>259.43</v>
      </c>
      <c r="L7" s="21">
        <v>1010.88</v>
      </c>
      <c r="M7" s="21">
        <v>1488.31</v>
      </c>
      <c r="N7" s="17">
        <f t="shared" si="1"/>
        <v>4139.53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/>
      <c r="C8" s="23"/>
      <c r="D8" s="23"/>
      <c r="E8" s="23">
        <f t="shared" ref="E8:M8" si="2">E5-E6-E7</f>
        <v>143149</v>
      </c>
      <c r="F8" s="23">
        <f t="shared" si="2"/>
        <v>122631.62</v>
      </c>
      <c r="G8" s="23">
        <f t="shared" si="2"/>
        <v>98011.49</v>
      </c>
      <c r="H8" s="23">
        <f t="shared" si="2"/>
        <v>51085.12</v>
      </c>
      <c r="I8" s="23">
        <f t="shared" si="2"/>
        <v>21062.74</v>
      </c>
      <c r="J8" s="23">
        <f t="shared" si="2"/>
        <v>16331.74</v>
      </c>
      <c r="K8" s="23">
        <f t="shared" si="2"/>
        <v>29174.11</v>
      </c>
      <c r="L8" s="23">
        <f t="shared" si="2"/>
        <v>50208.45</v>
      </c>
      <c r="M8" s="23">
        <f t="shared" si="2"/>
        <v>57289.46</v>
      </c>
      <c r="N8" s="24">
        <f t="shared" si="1"/>
        <v>588943.73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2025.0</v>
      </c>
      <c r="C10" s="7">
        <v>2025.0</v>
      </c>
      <c r="D10" s="7">
        <v>2025.0</v>
      </c>
      <c r="E10" s="7">
        <v>2025.0</v>
      </c>
      <c r="F10" s="7">
        <v>2025.0</v>
      </c>
      <c r="G10" s="7">
        <v>2025.0</v>
      </c>
      <c r="H10" s="7">
        <v>2025.0</v>
      </c>
      <c r="I10" s="7">
        <v>2025.0</v>
      </c>
      <c r="J10" s="7">
        <v>2025.0</v>
      </c>
      <c r="K10" s="7">
        <v>2025.0</v>
      </c>
      <c r="L10" s="7">
        <v>2025.0</v>
      </c>
      <c r="M10" s="7">
        <v>2025.0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5"/>
      <c r="C12" s="25"/>
      <c r="D12" s="25"/>
      <c r="E12" s="25">
        <v>39429.4</v>
      </c>
      <c r="F12" s="25">
        <v>37954.1</v>
      </c>
      <c r="G12" s="25">
        <v>31210.1</v>
      </c>
      <c r="H12" s="26">
        <v>14878.4</v>
      </c>
      <c r="I12" s="25">
        <v>5538.4</v>
      </c>
      <c r="J12" s="25">
        <v>3705.8</v>
      </c>
      <c r="K12" s="27">
        <v>6889.5</v>
      </c>
      <c r="L12" s="13">
        <v>14240.8</v>
      </c>
      <c r="M12" s="28">
        <v>19910.9</v>
      </c>
      <c r="N12" s="29">
        <f t="shared" ref="N12:N13" si="4">SUM(B12:M12)</f>
        <v>173757.4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/>
      <c r="C13" s="30"/>
      <c r="D13" s="30"/>
      <c r="E13" s="30">
        <f t="shared" ref="E13:M13" si="3">E8-E12</f>
        <v>103719.6</v>
      </c>
      <c r="F13" s="30">
        <f t="shared" si="3"/>
        <v>84677.52</v>
      </c>
      <c r="G13" s="30">
        <f t="shared" si="3"/>
        <v>66801.39</v>
      </c>
      <c r="H13" s="30">
        <f t="shared" si="3"/>
        <v>36206.72</v>
      </c>
      <c r="I13" s="30">
        <f t="shared" si="3"/>
        <v>15524.34</v>
      </c>
      <c r="J13" s="30">
        <f t="shared" si="3"/>
        <v>12625.94</v>
      </c>
      <c r="K13" s="30">
        <f t="shared" si="3"/>
        <v>22284.61</v>
      </c>
      <c r="L13" s="30">
        <f t="shared" si="3"/>
        <v>35967.65</v>
      </c>
      <c r="M13" s="30">
        <f t="shared" si="3"/>
        <v>37378.56</v>
      </c>
      <c r="N13" s="31">
        <f t="shared" si="4"/>
        <v>415186.33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/>
      <c r="C15" s="7"/>
      <c r="D15" s="7"/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2025.0</v>
      </c>
      <c r="M15" s="7">
        <v>2025.0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22</v>
      </c>
      <c r="B17" s="20"/>
      <c r="C17" s="20"/>
      <c r="D17" s="20"/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33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4" t="s">
        <v>23</v>
      </c>
      <c r="B18" s="20"/>
      <c r="C18" s="20"/>
      <c r="D18" s="20"/>
      <c r="E18" s="20">
        <v>1700.37</v>
      </c>
      <c r="F18" s="20">
        <v>8585.03</v>
      </c>
      <c r="G18" s="20">
        <v>6740.87</v>
      </c>
      <c r="H18" s="20">
        <v>3868.74</v>
      </c>
      <c r="I18" s="20">
        <v>2323.52</v>
      </c>
      <c r="J18" s="20">
        <v>225.62</v>
      </c>
      <c r="K18" s="20">
        <v>0.0</v>
      </c>
      <c r="L18" s="20">
        <v>0.0</v>
      </c>
      <c r="M18" s="20">
        <v>0.0</v>
      </c>
      <c r="N18" s="33">
        <f t="shared" si="5"/>
        <v>23444.15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24</v>
      </c>
      <c r="B19" s="20"/>
      <c r="C19" s="20"/>
      <c r="D19" s="20"/>
      <c r="E19" s="20">
        <v>66948.9</v>
      </c>
      <c r="F19" s="20">
        <v>54586.26</v>
      </c>
      <c r="G19" s="20">
        <v>48902.88</v>
      </c>
      <c r="H19" s="20">
        <v>24055.7</v>
      </c>
      <c r="I19" s="20">
        <v>7405.27</v>
      </c>
      <c r="J19" s="20">
        <v>7992.73</v>
      </c>
      <c r="K19" s="27">
        <v>11702.39</v>
      </c>
      <c r="L19" s="13">
        <v>23797.17</v>
      </c>
      <c r="M19" s="13">
        <v>25267.27</v>
      </c>
      <c r="N19" s="33">
        <f t="shared" si="5"/>
        <v>270658.57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4" t="s">
        <v>25</v>
      </c>
      <c r="B20" s="20"/>
      <c r="C20" s="20"/>
      <c r="D20" s="20"/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20">
        <v>0.0</v>
      </c>
      <c r="M20" s="20">
        <v>0.0</v>
      </c>
      <c r="N20" s="33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26</v>
      </c>
      <c r="B21" s="20"/>
      <c r="C21" s="20"/>
      <c r="D21" s="20"/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20">
        <v>0.0</v>
      </c>
      <c r="K21" s="20">
        <v>0.0</v>
      </c>
      <c r="L21" s="20">
        <v>0.0</v>
      </c>
      <c r="M21" s="20">
        <v>0.0</v>
      </c>
      <c r="N21" s="33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27</v>
      </c>
      <c r="B22" s="20"/>
      <c r="C22" s="20"/>
      <c r="D22" s="20"/>
      <c r="E22" s="20">
        <v>4883.35</v>
      </c>
      <c r="F22" s="38">
        <v>4211.9</v>
      </c>
      <c r="G22" s="38">
        <v>3405.42</v>
      </c>
      <c r="H22" s="38">
        <v>1780.55</v>
      </c>
      <c r="I22" s="38">
        <v>746.71</v>
      </c>
      <c r="J22" s="38">
        <v>580.98</v>
      </c>
      <c r="K22" s="38">
        <v>1020.63</v>
      </c>
      <c r="L22" s="38">
        <v>1761.06</v>
      </c>
      <c r="M22" s="38">
        <v>2029.27</v>
      </c>
      <c r="N22" s="33">
        <f t="shared" si="5"/>
        <v>20419.87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2" t="s">
        <v>28</v>
      </c>
      <c r="B23" s="20"/>
      <c r="C23" s="20"/>
      <c r="D23" s="20"/>
      <c r="E23" s="20">
        <v>0.0</v>
      </c>
      <c r="F23" s="20">
        <v>300.0</v>
      </c>
      <c r="G23" s="20">
        <v>0.0</v>
      </c>
      <c r="H23" s="20">
        <v>168.8</v>
      </c>
      <c r="I23" s="20">
        <v>0.0</v>
      </c>
      <c r="J23" s="20">
        <v>0.0</v>
      </c>
      <c r="K23" s="20">
        <v>0.0</v>
      </c>
      <c r="L23" s="20">
        <v>0.0</v>
      </c>
      <c r="M23" s="20">
        <v>0.0</v>
      </c>
      <c r="N23" s="33">
        <f t="shared" si="5"/>
        <v>468.8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2" t="s">
        <v>30</v>
      </c>
      <c r="B24" s="20"/>
      <c r="C24" s="20"/>
      <c r="D24" s="20"/>
      <c r="E24" s="20">
        <v>311.04</v>
      </c>
      <c r="F24" s="20">
        <v>599.47</v>
      </c>
      <c r="G24" s="20">
        <v>351.93</v>
      </c>
      <c r="H24" s="20">
        <v>315.37</v>
      </c>
      <c r="I24" s="20">
        <v>155.94</v>
      </c>
      <c r="J24" s="20">
        <v>217.97</v>
      </c>
      <c r="K24" s="20">
        <v>172.11</v>
      </c>
      <c r="L24" s="20">
        <v>264.39</v>
      </c>
      <c r="M24" s="39">
        <v>291.83</v>
      </c>
      <c r="N24" s="33">
        <f t="shared" si="5"/>
        <v>2680.05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2" t="s">
        <v>31</v>
      </c>
      <c r="B25" s="20"/>
      <c r="C25" s="20"/>
      <c r="D25" s="20"/>
      <c r="E25" s="20">
        <v>775.0</v>
      </c>
      <c r="F25" s="20">
        <v>425.0</v>
      </c>
      <c r="G25" s="20">
        <v>450.0</v>
      </c>
      <c r="H25" s="20">
        <v>499.98</v>
      </c>
      <c r="I25" s="20">
        <v>0.0</v>
      </c>
      <c r="J25" s="20">
        <v>0.0</v>
      </c>
      <c r="K25" s="20">
        <v>0.0</v>
      </c>
      <c r="L25" s="20">
        <v>0.0</v>
      </c>
      <c r="M25" s="20">
        <v>0.0</v>
      </c>
      <c r="N25" s="33">
        <f t="shared" si="5"/>
        <v>2149.98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0" t="s">
        <v>32</v>
      </c>
      <c r="B26" s="20"/>
      <c r="C26" s="20"/>
      <c r="D26" s="20"/>
      <c r="E26" s="20">
        <v>0.0</v>
      </c>
      <c r="F26" s="20">
        <v>0.0</v>
      </c>
      <c r="G26" s="20">
        <v>0.0</v>
      </c>
      <c r="H26" s="20">
        <v>0.0</v>
      </c>
      <c r="I26" s="20">
        <v>0.0</v>
      </c>
      <c r="J26" s="20">
        <v>0.0</v>
      </c>
      <c r="K26" s="20">
        <v>0.0</v>
      </c>
      <c r="L26" s="20">
        <v>0.0</v>
      </c>
      <c r="M26" s="20">
        <v>0.0</v>
      </c>
      <c r="N26" s="33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33</v>
      </c>
      <c r="B27" s="20"/>
      <c r="C27" s="20"/>
      <c r="D27" s="20"/>
      <c r="E27" s="20">
        <v>211.32</v>
      </c>
      <c r="F27" s="20">
        <v>146.45</v>
      </c>
      <c r="G27" s="20">
        <v>237.35</v>
      </c>
      <c r="H27" s="20">
        <v>305.53</v>
      </c>
      <c r="I27" s="20">
        <v>171.7</v>
      </c>
      <c r="J27" s="20">
        <v>121.2</v>
      </c>
      <c r="K27" s="20">
        <v>151.5</v>
      </c>
      <c r="L27" s="20">
        <v>128.78</v>
      </c>
      <c r="M27" s="20">
        <v>654.2</v>
      </c>
      <c r="N27" s="33">
        <f t="shared" si="5"/>
        <v>2128.03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34</v>
      </c>
      <c r="B28" s="41"/>
      <c r="C28" s="41"/>
      <c r="D28" s="41"/>
      <c r="E28" s="20">
        <v>4000.0</v>
      </c>
      <c r="F28" s="20">
        <v>0.0</v>
      </c>
      <c r="G28" s="20">
        <v>0.0</v>
      </c>
      <c r="H28" s="20">
        <v>0.0</v>
      </c>
      <c r="I28" s="20">
        <v>0.0</v>
      </c>
      <c r="J28" s="20">
        <v>0.0</v>
      </c>
      <c r="K28" s="20">
        <v>0.0</v>
      </c>
      <c r="L28" s="20">
        <v>0.0</v>
      </c>
      <c r="M28" s="20">
        <v>0.0</v>
      </c>
      <c r="N28" s="33">
        <f t="shared" si="5"/>
        <v>4000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2" t="s">
        <v>35</v>
      </c>
      <c r="B29" s="37"/>
      <c r="C29" s="37"/>
      <c r="D29" s="37"/>
      <c r="E29" s="37"/>
      <c r="F29" s="37"/>
      <c r="G29" s="37"/>
      <c r="H29" s="37"/>
      <c r="I29" s="38"/>
      <c r="J29" s="37"/>
      <c r="K29" s="37"/>
      <c r="L29" s="37"/>
      <c r="M29" s="37"/>
      <c r="N29" s="33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36</v>
      </c>
      <c r="B30" s="43"/>
      <c r="C30" s="43"/>
      <c r="D30" s="43"/>
      <c r="E30" s="43">
        <f t="shared" ref="E30:M30" si="6">SUM(E17:E29)</f>
        <v>78829.98</v>
      </c>
      <c r="F30" s="43">
        <f t="shared" si="6"/>
        <v>68854.11</v>
      </c>
      <c r="G30" s="43">
        <f t="shared" si="6"/>
        <v>60088.45</v>
      </c>
      <c r="H30" s="43">
        <f t="shared" si="6"/>
        <v>30994.67</v>
      </c>
      <c r="I30" s="43">
        <f t="shared" si="6"/>
        <v>10803.14</v>
      </c>
      <c r="J30" s="43">
        <f t="shared" si="6"/>
        <v>9138.5</v>
      </c>
      <c r="K30" s="43">
        <f t="shared" si="6"/>
        <v>13046.63</v>
      </c>
      <c r="L30" s="43">
        <f t="shared" si="6"/>
        <v>25951.4</v>
      </c>
      <c r="M30" s="43">
        <f t="shared" si="6"/>
        <v>28242.57</v>
      </c>
      <c r="N30" s="44">
        <f t="shared" si="5"/>
        <v>325949.45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5"/>
      <c r="F31" s="45"/>
      <c r="G31" s="45"/>
      <c r="H31" s="45"/>
      <c r="I31" s="45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37</v>
      </c>
      <c r="B32" s="9"/>
      <c r="C32" s="9"/>
      <c r="D32" s="9"/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6" t="s">
        <v>38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39</v>
      </c>
      <c r="B33" s="47"/>
      <c r="C33" s="47"/>
      <c r="D33" s="47"/>
      <c r="E33" s="47">
        <f t="shared" ref="E33:M33" si="7">MINUS(E13,E30)</f>
        <v>24889.62</v>
      </c>
      <c r="F33" s="47">
        <f t="shared" si="7"/>
        <v>15823.41</v>
      </c>
      <c r="G33" s="47">
        <f t="shared" si="7"/>
        <v>6712.94</v>
      </c>
      <c r="H33" s="47">
        <f t="shared" si="7"/>
        <v>5212.05</v>
      </c>
      <c r="I33" s="47">
        <f t="shared" si="7"/>
        <v>4721.2</v>
      </c>
      <c r="J33" s="47">
        <f t="shared" si="7"/>
        <v>3487.44</v>
      </c>
      <c r="K33" s="47">
        <f t="shared" si="7"/>
        <v>9237.98</v>
      </c>
      <c r="L33" s="47">
        <f t="shared" si="7"/>
        <v>10016.25</v>
      </c>
      <c r="M33" s="47">
        <f t="shared" si="7"/>
        <v>9135.99</v>
      </c>
      <c r="N33" s="48">
        <f>SUM(B33:M33)</f>
        <v>89236.88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0" t="s">
        <v>40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1">
        <f>SUM(N19)</f>
        <v>270658.57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41</v>
      </c>
      <c r="B38" s="51">
        <f>SUM(N18)</f>
        <v>23444.15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42</v>
      </c>
      <c r="B39" s="52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1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1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/>
      <c r="B48" s="5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5"/>
      <c r="B50" s="5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5"/>
      <c r="B51" s="5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2024.0</v>
      </c>
      <c r="C3" s="7">
        <v>2024.0</v>
      </c>
      <c r="D3" s="7">
        <v>2024.0</v>
      </c>
      <c r="E3" s="7">
        <v>2024.0</v>
      </c>
      <c r="F3" s="7">
        <v>2024.0</v>
      </c>
      <c r="G3" s="7">
        <v>2024.0</v>
      </c>
      <c r="H3" s="7">
        <v>2024.0</v>
      </c>
      <c r="I3" s="7">
        <v>2024.0</v>
      </c>
      <c r="J3" s="7">
        <v>2024.0</v>
      </c>
      <c r="K3" s="7">
        <v>2024.0</v>
      </c>
      <c r="L3" s="7">
        <v>2024.0</v>
      </c>
      <c r="M3" s="7">
        <v>2024.0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2"/>
      <c r="D5" s="13"/>
      <c r="E5" s="12"/>
      <c r="F5" s="12"/>
      <c r="G5" s="14"/>
      <c r="H5" s="15"/>
      <c r="I5" s="15"/>
      <c r="J5" s="16"/>
      <c r="K5" s="15"/>
      <c r="L5" s="14"/>
      <c r="M5" s="14"/>
      <c r="N5" s="17">
        <f t="shared" ref="N5:N8" si="1">SUM(B5:M5)</f>
        <v>0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/>
      <c r="C6" s="12"/>
      <c r="D6" s="13"/>
      <c r="E6" s="12"/>
      <c r="F6" s="13"/>
      <c r="G6" s="12"/>
      <c r="H6" s="14"/>
      <c r="I6" s="14"/>
      <c r="J6" s="19"/>
      <c r="K6" s="20"/>
      <c r="L6" s="14"/>
      <c r="M6" s="14"/>
      <c r="N6" s="17">
        <f t="shared" si="1"/>
        <v>0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17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0</v>
      </c>
      <c r="C8" s="23">
        <f t="shared" si="2"/>
        <v>0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2024.0</v>
      </c>
      <c r="C10" s="7">
        <v>2024.0</v>
      </c>
      <c r="D10" s="7">
        <v>2024.0</v>
      </c>
      <c r="E10" s="7">
        <v>2024.0</v>
      </c>
      <c r="F10" s="7">
        <v>2024.0</v>
      </c>
      <c r="G10" s="7">
        <v>2024.0</v>
      </c>
      <c r="H10" s="7">
        <v>2024.0</v>
      </c>
      <c r="I10" s="7">
        <v>2024.0</v>
      </c>
      <c r="J10" s="7">
        <v>2024.0</v>
      </c>
      <c r="K10" s="7">
        <v>2024.0</v>
      </c>
      <c r="L10" s="7">
        <v>2024.0</v>
      </c>
      <c r="M10" s="7">
        <v>2024.0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5"/>
      <c r="C12" s="25"/>
      <c r="D12" s="25"/>
      <c r="E12" s="25"/>
      <c r="F12" s="25"/>
      <c r="G12" s="25"/>
      <c r="H12" s="26"/>
      <c r="I12" s="25"/>
      <c r="J12" s="25"/>
      <c r="K12" s="27"/>
      <c r="L12" s="13"/>
      <c r="M12" s="28"/>
      <c r="N12" s="29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2024.0</v>
      </c>
      <c r="C15" s="7">
        <v>2024.0</v>
      </c>
      <c r="D15" s="7">
        <v>2024.0</v>
      </c>
      <c r="E15" s="7">
        <v>2024.0</v>
      </c>
      <c r="F15" s="7">
        <v>2024.0</v>
      </c>
      <c r="G15" s="7">
        <v>2024.0</v>
      </c>
      <c r="H15" s="7">
        <v>2024.0</v>
      </c>
      <c r="I15" s="7">
        <v>2024.0</v>
      </c>
      <c r="J15" s="7">
        <v>2024.0</v>
      </c>
      <c r="K15" s="7">
        <v>2024.0</v>
      </c>
      <c r="L15" s="7">
        <v>2024.0</v>
      </c>
      <c r="M15" s="7">
        <v>2024.0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22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3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4" t="s">
        <v>23</v>
      </c>
      <c r="B18" s="20"/>
      <c r="C18" s="20"/>
      <c r="D18" s="20"/>
      <c r="E18" s="20"/>
      <c r="F18" s="20"/>
      <c r="G18" s="20"/>
      <c r="H18" s="20"/>
      <c r="I18" s="20"/>
      <c r="J18" s="20"/>
      <c r="K18" s="27"/>
      <c r="L18" s="13"/>
      <c r="M18" s="13"/>
      <c r="N18" s="33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7"/>
      <c r="L19" s="13"/>
      <c r="M19" s="13"/>
      <c r="N19" s="33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4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3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26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33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27</v>
      </c>
      <c r="B22" s="20"/>
      <c r="C22" s="20"/>
      <c r="D22" s="20"/>
      <c r="E22" s="20"/>
      <c r="F22" s="37"/>
      <c r="G22" s="37"/>
      <c r="H22" s="37"/>
      <c r="I22" s="38"/>
      <c r="J22" s="37"/>
      <c r="K22" s="37"/>
      <c r="L22" s="37"/>
      <c r="M22" s="37"/>
      <c r="N22" s="33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2" t="s">
        <v>28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39"/>
      <c r="N23" s="33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2" t="s">
        <v>30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39"/>
      <c r="N24" s="33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2" t="s">
        <v>31</v>
      </c>
      <c r="B25" s="20"/>
      <c r="C25" s="20"/>
      <c r="D25" s="20"/>
      <c r="E25" s="20"/>
      <c r="F25" s="20"/>
      <c r="G25" s="20"/>
      <c r="H25" s="20"/>
      <c r="I25" s="20"/>
      <c r="J25" s="20"/>
      <c r="K25" s="27"/>
      <c r="L25" s="13"/>
      <c r="M25" s="13"/>
      <c r="N25" s="33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0" t="s">
        <v>32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3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33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34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3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2" t="s">
        <v>35</v>
      </c>
      <c r="B29" s="37"/>
      <c r="C29" s="37"/>
      <c r="D29" s="37"/>
      <c r="E29" s="37"/>
      <c r="F29" s="37"/>
      <c r="G29" s="37"/>
      <c r="H29" s="37"/>
      <c r="I29" s="38"/>
      <c r="J29" s="37"/>
      <c r="K29" s="37"/>
      <c r="L29" s="37"/>
      <c r="M29" s="37"/>
      <c r="N29" s="33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36</v>
      </c>
      <c r="B30" s="43">
        <f t="shared" ref="B30:M30" si="6">SUM(B17:B29)</f>
        <v>0</v>
      </c>
      <c r="C30" s="43">
        <f t="shared" si="6"/>
        <v>0</v>
      </c>
      <c r="D30" s="43">
        <f t="shared" si="6"/>
        <v>0</v>
      </c>
      <c r="E30" s="43">
        <f t="shared" si="6"/>
        <v>0</v>
      </c>
      <c r="F30" s="43">
        <f t="shared" si="6"/>
        <v>0</v>
      </c>
      <c r="G30" s="43">
        <f t="shared" si="6"/>
        <v>0</v>
      </c>
      <c r="H30" s="43">
        <f t="shared" si="6"/>
        <v>0</v>
      </c>
      <c r="I30" s="43">
        <f t="shared" si="6"/>
        <v>0</v>
      </c>
      <c r="J30" s="43">
        <f t="shared" si="6"/>
        <v>0</v>
      </c>
      <c r="K30" s="43">
        <f t="shared" si="6"/>
        <v>0</v>
      </c>
      <c r="L30" s="43">
        <f t="shared" si="6"/>
        <v>0</v>
      </c>
      <c r="M30" s="43">
        <f t="shared" si="6"/>
        <v>0</v>
      </c>
      <c r="N30" s="44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5"/>
      <c r="F31" s="45"/>
      <c r="G31" s="45"/>
      <c r="H31" s="45"/>
      <c r="I31" s="45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37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6" t="s">
        <v>38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39</v>
      </c>
      <c r="B33" s="47">
        <f t="shared" ref="B33:M33" si="7">MINUS(B13,B30)</f>
        <v>0</v>
      </c>
      <c r="C33" s="47">
        <f t="shared" si="7"/>
        <v>0</v>
      </c>
      <c r="D33" s="47">
        <f t="shared" si="7"/>
        <v>0</v>
      </c>
      <c r="E33" s="47">
        <f t="shared" si="7"/>
        <v>0</v>
      </c>
      <c r="F33" s="47">
        <f t="shared" si="7"/>
        <v>0</v>
      </c>
      <c r="G33" s="47">
        <f t="shared" si="7"/>
        <v>0</v>
      </c>
      <c r="H33" s="47">
        <f t="shared" si="7"/>
        <v>0</v>
      </c>
      <c r="I33" s="47">
        <f t="shared" si="7"/>
        <v>0</v>
      </c>
      <c r="J33" s="47">
        <f t="shared" si="7"/>
        <v>0</v>
      </c>
      <c r="K33" s="47">
        <f t="shared" si="7"/>
        <v>0</v>
      </c>
      <c r="L33" s="47">
        <f t="shared" si="7"/>
        <v>0</v>
      </c>
      <c r="M33" s="47">
        <f t="shared" si="7"/>
        <v>0</v>
      </c>
      <c r="N33" s="48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0" t="s">
        <v>40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1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41</v>
      </c>
      <c r="B38" s="51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42</v>
      </c>
      <c r="B39" s="52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1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1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/>
      <c r="B48" s="5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5"/>
      <c r="B50" s="5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5"/>
      <c r="B51" s="5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2023.0</v>
      </c>
      <c r="C3" s="7">
        <v>2023.0</v>
      </c>
      <c r="D3" s="7">
        <v>2023.0</v>
      </c>
      <c r="E3" s="7">
        <v>2023.0</v>
      </c>
      <c r="F3" s="7">
        <v>2023.0</v>
      </c>
      <c r="G3" s="7">
        <v>2023.0</v>
      </c>
      <c r="H3" s="7">
        <v>2023.0</v>
      </c>
      <c r="I3" s="7">
        <v>2023.0</v>
      </c>
      <c r="J3" s="7">
        <v>2023.0</v>
      </c>
      <c r="K3" s="7">
        <v>2023.0</v>
      </c>
      <c r="L3" s="7">
        <v>2023.0</v>
      </c>
      <c r="M3" s="7">
        <v>2023.0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2"/>
      <c r="D5" s="13"/>
      <c r="E5" s="12"/>
      <c r="F5" s="12"/>
      <c r="G5" s="14"/>
      <c r="H5" s="15"/>
      <c r="I5" s="15"/>
      <c r="J5" s="16"/>
      <c r="K5" s="15"/>
      <c r="L5" s="14"/>
      <c r="M5" s="14"/>
      <c r="N5" s="17">
        <f t="shared" ref="N5:N8" si="1">SUM(B5:M5)</f>
        <v>0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/>
      <c r="C6" s="12"/>
      <c r="D6" s="13"/>
      <c r="E6" s="12"/>
      <c r="F6" s="13"/>
      <c r="G6" s="12"/>
      <c r="H6" s="14"/>
      <c r="I6" s="14"/>
      <c r="J6" s="19"/>
      <c r="K6" s="20"/>
      <c r="L6" s="14"/>
      <c r="M6" s="14"/>
      <c r="N6" s="17">
        <f t="shared" si="1"/>
        <v>0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17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0</v>
      </c>
      <c r="C8" s="23">
        <f t="shared" si="2"/>
        <v>0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2023.0</v>
      </c>
      <c r="C10" s="7">
        <v>2023.0</v>
      </c>
      <c r="D10" s="7">
        <v>2023.0</v>
      </c>
      <c r="E10" s="7">
        <v>2023.0</v>
      </c>
      <c r="F10" s="7">
        <v>2023.0</v>
      </c>
      <c r="G10" s="7">
        <v>2023.0</v>
      </c>
      <c r="H10" s="7">
        <v>2023.0</v>
      </c>
      <c r="I10" s="7">
        <v>2023.0</v>
      </c>
      <c r="J10" s="7">
        <v>2023.0</v>
      </c>
      <c r="K10" s="7">
        <v>2023.0</v>
      </c>
      <c r="L10" s="7">
        <v>2023.0</v>
      </c>
      <c r="M10" s="7">
        <v>2023.0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5"/>
      <c r="C12" s="25"/>
      <c r="D12" s="25"/>
      <c r="E12" s="25"/>
      <c r="F12" s="25"/>
      <c r="G12" s="25"/>
      <c r="H12" s="26"/>
      <c r="I12" s="25"/>
      <c r="J12" s="25"/>
      <c r="K12" s="27"/>
      <c r="L12" s="13"/>
      <c r="M12" s="28"/>
      <c r="N12" s="29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2023.0</v>
      </c>
      <c r="C15" s="7">
        <v>2023.0</v>
      </c>
      <c r="D15" s="7">
        <v>2023.0</v>
      </c>
      <c r="E15" s="7">
        <v>2023.0</v>
      </c>
      <c r="F15" s="7">
        <v>2023.0</v>
      </c>
      <c r="G15" s="7">
        <v>2023.0</v>
      </c>
      <c r="H15" s="7">
        <v>2023.0</v>
      </c>
      <c r="I15" s="7">
        <v>2023.0</v>
      </c>
      <c r="J15" s="7">
        <v>2023.0</v>
      </c>
      <c r="K15" s="7">
        <v>2023.0</v>
      </c>
      <c r="L15" s="7">
        <v>2023.0</v>
      </c>
      <c r="M15" s="7">
        <v>2023.0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22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3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4" t="s">
        <v>23</v>
      </c>
      <c r="B18" s="20"/>
      <c r="C18" s="20"/>
      <c r="D18" s="20"/>
      <c r="E18" s="20"/>
      <c r="F18" s="20"/>
      <c r="G18" s="20"/>
      <c r="H18" s="20"/>
      <c r="I18" s="20"/>
      <c r="J18" s="20"/>
      <c r="K18" s="27"/>
      <c r="L18" s="13"/>
      <c r="M18" s="13"/>
      <c r="N18" s="33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7"/>
      <c r="L19" s="13"/>
      <c r="M19" s="13"/>
      <c r="N19" s="33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4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3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26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33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27</v>
      </c>
      <c r="B22" s="20"/>
      <c r="C22" s="20"/>
      <c r="D22" s="20"/>
      <c r="E22" s="20"/>
      <c r="F22" s="37"/>
      <c r="G22" s="37"/>
      <c r="H22" s="37"/>
      <c r="I22" s="38"/>
      <c r="J22" s="37"/>
      <c r="K22" s="37"/>
      <c r="L22" s="37"/>
      <c r="M22" s="37"/>
      <c r="N22" s="33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2" t="s">
        <v>28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39"/>
      <c r="N23" s="33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2" t="s">
        <v>30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39"/>
      <c r="N24" s="33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2" t="s">
        <v>31</v>
      </c>
      <c r="B25" s="20"/>
      <c r="C25" s="20"/>
      <c r="D25" s="20"/>
      <c r="E25" s="20"/>
      <c r="F25" s="20"/>
      <c r="G25" s="20"/>
      <c r="H25" s="20"/>
      <c r="I25" s="20"/>
      <c r="J25" s="20"/>
      <c r="K25" s="27"/>
      <c r="L25" s="13"/>
      <c r="M25" s="13"/>
      <c r="N25" s="33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0" t="s">
        <v>32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3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33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34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3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2" t="s">
        <v>35</v>
      </c>
      <c r="B29" s="37"/>
      <c r="C29" s="37"/>
      <c r="D29" s="37"/>
      <c r="E29" s="37"/>
      <c r="F29" s="37"/>
      <c r="G29" s="37"/>
      <c r="H29" s="37"/>
      <c r="I29" s="38"/>
      <c r="J29" s="37"/>
      <c r="K29" s="37"/>
      <c r="L29" s="37"/>
      <c r="M29" s="37"/>
      <c r="N29" s="33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36</v>
      </c>
      <c r="B30" s="43">
        <f t="shared" ref="B30:M30" si="6">SUM(B17:B29)</f>
        <v>0</v>
      </c>
      <c r="C30" s="43">
        <f t="shared" si="6"/>
        <v>0</v>
      </c>
      <c r="D30" s="43">
        <f t="shared" si="6"/>
        <v>0</v>
      </c>
      <c r="E30" s="43">
        <f t="shared" si="6"/>
        <v>0</v>
      </c>
      <c r="F30" s="43">
        <f t="shared" si="6"/>
        <v>0</v>
      </c>
      <c r="G30" s="43">
        <f t="shared" si="6"/>
        <v>0</v>
      </c>
      <c r="H30" s="43">
        <f t="shared" si="6"/>
        <v>0</v>
      </c>
      <c r="I30" s="43">
        <f t="shared" si="6"/>
        <v>0</v>
      </c>
      <c r="J30" s="43">
        <f t="shared" si="6"/>
        <v>0</v>
      </c>
      <c r="K30" s="43">
        <f t="shared" si="6"/>
        <v>0</v>
      </c>
      <c r="L30" s="43">
        <f t="shared" si="6"/>
        <v>0</v>
      </c>
      <c r="M30" s="43">
        <f t="shared" si="6"/>
        <v>0</v>
      </c>
      <c r="N30" s="44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5"/>
      <c r="F31" s="45"/>
      <c r="G31" s="45"/>
      <c r="H31" s="45"/>
      <c r="I31" s="45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37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6" t="s">
        <v>38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39</v>
      </c>
      <c r="B33" s="47">
        <f t="shared" ref="B33:M33" si="7">MINUS(B13,B30)</f>
        <v>0</v>
      </c>
      <c r="C33" s="47">
        <f t="shared" si="7"/>
        <v>0</v>
      </c>
      <c r="D33" s="47">
        <f t="shared" si="7"/>
        <v>0</v>
      </c>
      <c r="E33" s="47">
        <f t="shared" si="7"/>
        <v>0</v>
      </c>
      <c r="F33" s="47">
        <f t="shared" si="7"/>
        <v>0</v>
      </c>
      <c r="G33" s="47">
        <f t="shared" si="7"/>
        <v>0</v>
      </c>
      <c r="H33" s="47">
        <f t="shared" si="7"/>
        <v>0</v>
      </c>
      <c r="I33" s="47">
        <f t="shared" si="7"/>
        <v>0</v>
      </c>
      <c r="J33" s="47">
        <f t="shared" si="7"/>
        <v>0</v>
      </c>
      <c r="K33" s="47">
        <f t="shared" si="7"/>
        <v>0</v>
      </c>
      <c r="L33" s="47">
        <f t="shared" si="7"/>
        <v>0</v>
      </c>
      <c r="M33" s="47">
        <f t="shared" si="7"/>
        <v>0</v>
      </c>
      <c r="N33" s="48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0" t="s">
        <v>40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1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41</v>
      </c>
      <c r="B38" s="51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42</v>
      </c>
      <c r="B39" s="52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1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1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/>
      <c r="B48" s="5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5"/>
      <c r="B50" s="5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5"/>
      <c r="B51" s="5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