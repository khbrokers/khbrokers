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anhtuan/Downloads/"/>
    </mc:Choice>
  </mc:AlternateContent>
  <xr:revisionPtr revIDLastSave="0" documentId="13_ncr:1_{404B9714-FC8E-A543-AC49-9CC9914A3517}" xr6:coauthVersionLast="47" xr6:coauthVersionMax="47" xr10:uidLastSave="{00000000-0000-0000-0000-000000000000}"/>
  <bookViews>
    <workbookView xWindow="240" yWindow="760" windowWidth="18920" windowHeight="1748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" i="2" l="1"/>
  <c r="M33" i="4"/>
  <c r="L33" i="4"/>
  <c r="K33" i="4"/>
  <c r="J33" i="4"/>
  <c r="I33" i="4"/>
  <c r="H33" i="4"/>
  <c r="G33" i="4"/>
  <c r="F33" i="4"/>
  <c r="E33" i="4"/>
  <c r="D33" i="4"/>
  <c r="C33" i="4"/>
  <c r="B33" i="4"/>
  <c r="N33" i="4" s="1"/>
  <c r="M30" i="4"/>
  <c r="L30" i="4"/>
  <c r="K30" i="4"/>
  <c r="J30" i="4"/>
  <c r="I30" i="4"/>
  <c r="H30" i="4"/>
  <c r="G30" i="4"/>
  <c r="F30" i="4"/>
  <c r="E30" i="4"/>
  <c r="D30" i="4"/>
  <c r="C30" i="4"/>
  <c r="B30" i="4"/>
  <c r="N30" i="4" s="1"/>
  <c r="N29" i="4"/>
  <c r="N28" i="4"/>
  <c r="N27" i="4"/>
  <c r="N26" i="4"/>
  <c r="N25" i="4"/>
  <c r="N24" i="4"/>
  <c r="N23" i="4"/>
  <c r="N22" i="4"/>
  <c r="N21" i="4"/>
  <c r="B41" i="4" s="1"/>
  <c r="N20" i="4"/>
  <c r="B40" i="4" s="1"/>
  <c r="N19" i="4"/>
  <c r="B37" i="4" s="1"/>
  <c r="N18" i="4"/>
  <c r="B38" i="4" s="1"/>
  <c r="N17" i="4"/>
  <c r="B39" i="4" s="1"/>
  <c r="L13" i="4"/>
  <c r="K13" i="4"/>
  <c r="J13" i="4"/>
  <c r="D13" i="4"/>
  <c r="C13" i="4"/>
  <c r="B13" i="4"/>
  <c r="N12" i="4"/>
  <c r="M8" i="4"/>
  <c r="M13" i="4" s="1"/>
  <c r="L8" i="4"/>
  <c r="K8" i="4"/>
  <c r="J8" i="4"/>
  <c r="I8" i="4"/>
  <c r="I13" i="4" s="1"/>
  <c r="H8" i="4"/>
  <c r="H13" i="4" s="1"/>
  <c r="G8" i="4"/>
  <c r="G13" i="4" s="1"/>
  <c r="F8" i="4"/>
  <c r="N8" i="4" s="1"/>
  <c r="E8" i="4"/>
  <c r="E13" i="4" s="1"/>
  <c r="D8" i="4"/>
  <c r="C8" i="4"/>
  <c r="B8" i="4"/>
  <c r="N7" i="4"/>
  <c r="N6" i="4"/>
  <c r="N5" i="4"/>
  <c r="B41" i="3"/>
  <c r="B37" i="3"/>
  <c r="M33" i="3"/>
  <c r="L33" i="3"/>
  <c r="K33" i="3"/>
  <c r="J33" i="3"/>
  <c r="I33" i="3"/>
  <c r="H33" i="3"/>
  <c r="G33" i="3"/>
  <c r="F33" i="3"/>
  <c r="E33" i="3"/>
  <c r="D33" i="3"/>
  <c r="C33" i="3"/>
  <c r="B33" i="3"/>
  <c r="N33" i="3" s="1"/>
  <c r="M30" i="3"/>
  <c r="L30" i="3"/>
  <c r="K30" i="3"/>
  <c r="J30" i="3"/>
  <c r="I30" i="3"/>
  <c r="H30" i="3"/>
  <c r="G30" i="3"/>
  <c r="F30" i="3"/>
  <c r="E30" i="3"/>
  <c r="D30" i="3"/>
  <c r="C30" i="3"/>
  <c r="B30" i="3"/>
  <c r="N30" i="3" s="1"/>
  <c r="N29" i="3"/>
  <c r="N28" i="3"/>
  <c r="N27" i="3"/>
  <c r="N26" i="3"/>
  <c r="N25" i="3"/>
  <c r="N24" i="3"/>
  <c r="N23" i="3"/>
  <c r="N22" i="3"/>
  <c r="N21" i="3"/>
  <c r="N20" i="3"/>
  <c r="B40" i="3" s="1"/>
  <c r="N19" i="3"/>
  <c r="N18" i="3"/>
  <c r="B38" i="3" s="1"/>
  <c r="N17" i="3"/>
  <c r="B39" i="3" s="1"/>
  <c r="M13" i="3"/>
  <c r="L13" i="3"/>
  <c r="F13" i="3"/>
  <c r="E13" i="3"/>
  <c r="D13" i="3"/>
  <c r="N12" i="3"/>
  <c r="M8" i="3"/>
  <c r="L8" i="3"/>
  <c r="K8" i="3"/>
  <c r="K13" i="3" s="1"/>
  <c r="J8" i="3"/>
  <c r="J13" i="3" s="1"/>
  <c r="I8" i="3"/>
  <c r="I13" i="3" s="1"/>
  <c r="H8" i="3"/>
  <c r="H13" i="3" s="1"/>
  <c r="G8" i="3"/>
  <c r="G13" i="3" s="1"/>
  <c r="F8" i="3"/>
  <c r="E8" i="3"/>
  <c r="D8" i="3"/>
  <c r="C8" i="3"/>
  <c r="C13" i="3" s="1"/>
  <c r="B8" i="3"/>
  <c r="B13" i="3" s="1"/>
  <c r="N7" i="3"/>
  <c r="N6" i="3"/>
  <c r="N5" i="3"/>
  <c r="B41" i="2"/>
  <c r="B38" i="2"/>
  <c r="M33" i="2"/>
  <c r="L33" i="2"/>
  <c r="K33" i="2"/>
  <c r="J33" i="2"/>
  <c r="I33" i="2"/>
  <c r="H33" i="2"/>
  <c r="G33" i="2"/>
  <c r="F33" i="2"/>
  <c r="E33" i="2"/>
  <c r="D33" i="2"/>
  <c r="C33" i="2"/>
  <c r="B33" i="2"/>
  <c r="N33" i="2" s="1"/>
  <c r="M30" i="2"/>
  <c r="L30" i="2"/>
  <c r="K30" i="2"/>
  <c r="J30" i="2"/>
  <c r="I30" i="2"/>
  <c r="H30" i="2"/>
  <c r="G30" i="2"/>
  <c r="F30" i="2"/>
  <c r="E30" i="2"/>
  <c r="D30" i="2"/>
  <c r="C30" i="2"/>
  <c r="B30" i="2"/>
  <c r="N29" i="2"/>
  <c r="N28" i="2"/>
  <c r="N27" i="2"/>
  <c r="N26" i="2"/>
  <c r="N25" i="2"/>
  <c r="N24" i="2"/>
  <c r="N23" i="2"/>
  <c r="N22" i="2"/>
  <c r="N21" i="2"/>
  <c r="N20" i="2"/>
  <c r="B40" i="2" s="1"/>
  <c r="N19" i="2"/>
  <c r="B37" i="2" s="1"/>
  <c r="N18" i="2"/>
  <c r="N17" i="2"/>
  <c r="B39" i="2" s="1"/>
  <c r="L13" i="2"/>
  <c r="J13" i="2"/>
  <c r="I13" i="2"/>
  <c r="H13" i="2"/>
  <c r="G13" i="2"/>
  <c r="D13" i="2"/>
  <c r="B13" i="2"/>
  <c r="N12" i="2"/>
  <c r="M8" i="2"/>
  <c r="M13" i="2" s="1"/>
  <c r="L8" i="2"/>
  <c r="K8" i="2"/>
  <c r="K13" i="2" s="1"/>
  <c r="J8" i="2"/>
  <c r="I8" i="2"/>
  <c r="H8" i="2"/>
  <c r="G8" i="2"/>
  <c r="F8" i="2"/>
  <c r="F13" i="2" s="1"/>
  <c r="E8" i="2"/>
  <c r="E13" i="2" s="1"/>
  <c r="D8" i="2"/>
  <c r="C8" i="2"/>
  <c r="C13" i="2" s="1"/>
  <c r="B8" i="2"/>
  <c r="N7" i="2"/>
  <c r="N6" i="2"/>
  <c r="N5" i="2"/>
  <c r="B40" i="1"/>
  <c r="M33" i="1"/>
  <c r="L33" i="1"/>
  <c r="K33" i="1"/>
  <c r="J33" i="1"/>
  <c r="I33" i="1"/>
  <c r="H33" i="1"/>
  <c r="G33" i="1"/>
  <c r="F33" i="1"/>
  <c r="E33" i="1"/>
  <c r="D33" i="1"/>
  <c r="C33" i="1"/>
  <c r="B33" i="1"/>
  <c r="N33" i="1" s="1"/>
  <c r="M30" i="1"/>
  <c r="L30" i="1"/>
  <c r="K30" i="1"/>
  <c r="J30" i="1"/>
  <c r="I30" i="1"/>
  <c r="H30" i="1"/>
  <c r="G30" i="1"/>
  <c r="F30" i="1"/>
  <c r="E30" i="1"/>
  <c r="B30" i="1"/>
  <c r="N29" i="1"/>
  <c r="N28" i="1"/>
  <c r="N27" i="1"/>
  <c r="N26" i="1"/>
  <c r="N25" i="1"/>
  <c r="D24" i="1"/>
  <c r="C24" i="1"/>
  <c r="N24" i="1" s="1"/>
  <c r="N23" i="1"/>
  <c r="N22" i="1"/>
  <c r="N21" i="1"/>
  <c r="B41" i="1" s="1"/>
  <c r="N20" i="1"/>
  <c r="D19" i="1"/>
  <c r="N19" i="1" s="1"/>
  <c r="B37" i="1" s="1"/>
  <c r="C19" i="1"/>
  <c r="C30" i="1" s="1"/>
  <c r="N18" i="1"/>
  <c r="B38" i="1" s="1"/>
  <c r="N17" i="1"/>
  <c r="B39" i="1" s="1"/>
  <c r="F13" i="1"/>
  <c r="D12" i="1"/>
  <c r="C12" i="1"/>
  <c r="N12" i="1" s="1"/>
  <c r="M8" i="1"/>
  <c r="M13" i="1" s="1"/>
  <c r="L8" i="1"/>
  <c r="L13" i="1" s="1"/>
  <c r="K8" i="1"/>
  <c r="K13" i="1" s="1"/>
  <c r="J8" i="1"/>
  <c r="J13" i="1" s="1"/>
  <c r="I8" i="1"/>
  <c r="I13" i="1" s="1"/>
  <c r="H8" i="1"/>
  <c r="H13" i="1" s="1"/>
  <c r="G8" i="1"/>
  <c r="G13" i="1" s="1"/>
  <c r="F8" i="1"/>
  <c r="E8" i="1"/>
  <c r="E13" i="1" s="1"/>
  <c r="C8" i="1"/>
  <c r="C13" i="1" s="1"/>
  <c r="B8" i="1"/>
  <c r="B13" i="1" s="1"/>
  <c r="N7" i="1"/>
  <c r="D6" i="1"/>
  <c r="N6" i="1" s="1"/>
  <c r="D5" i="1"/>
  <c r="D8" i="1" s="1"/>
  <c r="C5" i="1"/>
  <c r="N30" i="2" l="1"/>
  <c r="N13" i="3"/>
  <c r="N13" i="2"/>
  <c r="D13" i="1"/>
  <c r="N8" i="1"/>
  <c r="N30" i="1"/>
  <c r="N13" i="4"/>
  <c r="N13" i="1"/>
  <c r="N8" i="3"/>
  <c r="F13" i="4"/>
  <c r="N8" i="2"/>
  <c r="N5" i="1"/>
  <c r="D30" i="1"/>
</calcChain>
</file>

<file path=xl/sharedStrings.xml><?xml version="1.0" encoding="utf-8"?>
<sst xmlns="http://schemas.openxmlformats.org/spreadsheetml/2006/main" count="332" uniqueCount="42">
  <si>
    <t>Income</t>
  </si>
  <si>
    <t xml:space="preserve">January </t>
  </si>
  <si>
    <t>Febraury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</si>
  <si>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</si>
  <si>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</si>
  <si>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</si>
  <si>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</si>
  <si>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</si>
  <si>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</si>
  <si>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</si>
  <si>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</si>
  <si>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</si>
  <si>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</si>
  <si>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</si>
  <si>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Sales</t>
  </si>
  <si>
    <t>Refunds</t>
  </si>
  <si>
    <t>Chargebacks</t>
  </si>
  <si>
    <t>Total Income</t>
  </si>
  <si>
    <t>Cost of Goods</t>
  </si>
  <si>
    <t>Product Costs + Shipping</t>
  </si>
  <si>
    <t xml:space="preserve">Gross Profit </t>
  </si>
  <si>
    <t>Expenses</t>
  </si>
  <si>
    <t>TikTok</t>
  </si>
  <si>
    <t>Google</t>
  </si>
  <si>
    <t>Facebook</t>
  </si>
  <si>
    <t>Snapchat</t>
  </si>
  <si>
    <t>Pinterest</t>
  </si>
  <si>
    <t>Processing Fees</t>
  </si>
  <si>
    <t>Content Costs</t>
  </si>
  <si>
    <t xml:space="preserve">Shopify Bill </t>
  </si>
  <si>
    <t xml:space="preserve">3rd Party Softwares </t>
  </si>
  <si>
    <t>(Klaviyo, TripleWhale)</t>
  </si>
  <si>
    <t>Virtual Assistant(s)</t>
  </si>
  <si>
    <t>Email Agency</t>
  </si>
  <si>
    <t>*ADD MORE ROWS IF NEEDED*</t>
  </si>
  <si>
    <t>Total Expenses</t>
  </si>
  <si>
    <t>Profit</t>
  </si>
  <si>
    <t>Total Net Profit</t>
  </si>
  <si>
    <t>Net Profit</t>
  </si>
  <si>
    <t>Total Spent Per Traffic Source</t>
  </si>
  <si>
    <t>Google Adwords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</si>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</sst>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&quot;$&quot;#,##0.00"/>
  </numFmts>
  <fonts count="11" x14ac:knownFonts="1">
    <font>
      <sz val="10"/>
      <color rgb="FF000000"/>
      <name val="Calibri"/>
      <scheme val="minor"/>
    </font>
    <font>
      <b/>
      <sz val="12"/>
      <color rgb="FFFF9900"/>
      <name val="Montserrat"/>
    </font>
    <font>
      <sz val="10"/>
      <color theme="1"/>
      <name val="Montserrat"/>
    </font>
    <font>
      <i/>
      <u/>
      <sz val="10"/>
      <color theme="1"/>
      <name val="Montserrat"/>
    </font>
    <font>
      <b/>
      <sz val="10"/>
      <color rgb="FFFFFFFF"/>
      <name val="Montserrat"/>
    </font>
    <font>
      <sz val="10"/>
      <color theme="1"/>
      <name val="Montserrat"/>
    </font>
    <font>
      <sz val="10"/>
      <color rgb="FF000000"/>
      <name val="Montserrat"/>
    </font>
    <font>
      <sz val="10"/>
      <color rgb="FF303030"/>
      <name val="Montserrat"/>
    </font>
    <font>
      <b/>
      <sz val="10"/>
      <color theme="1"/>
      <name val="Montserrat"/>
    </font>
    <font>
      <b/>
      <sz val="10"/>
      <color theme="1"/>
      <name val="Montserrat"/>
    </font>
    <font>
      <sz val="10"/>
      <color rgb="FF00000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F7F7F7"/>
        <bgColor rgb="FFF7F7F7"/>
      </patternFill>
    </fill>
    <fill>
      <patternFill patternType="solid">
        <fgColor rgb="FFC496EA"/>
        <bgColor rgb="FFC496EA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4" fillId="3" borderId="0" xfId="0" applyFont="1" applyFill="1"/>
    <xf numFmtId="0" fontId="4" fillId="3" borderId="0" xfId="0" applyFont="1" applyFill="1" applyAlignment="1">
      <alignment horizontal="right"/>
    </xf>
    <xf numFmtId="164" fontId="5" fillId="0" borderId="0" xfId="0" applyNumberFormat="1" applyFont="1"/>
    <xf numFmtId="164" fontId="6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164" fontId="5" fillId="4" borderId="0" xfId="0" applyNumberFormat="1" applyFont="1" applyFill="1"/>
    <xf numFmtId="164" fontId="7" fillId="0" borderId="0" xfId="0" applyNumberFormat="1" applyFont="1"/>
    <xf numFmtId="164" fontId="5" fillId="0" borderId="0" xfId="0" applyNumberFormat="1" applyFont="1" applyAlignment="1">
      <alignment horizontal="right"/>
    </xf>
    <xf numFmtId="164" fontId="2" fillId="0" borderId="0" xfId="0" applyNumberFormat="1" applyFont="1"/>
    <xf numFmtId="0" fontId="8" fillId="4" borderId="0" xfId="0" applyFont="1" applyFill="1"/>
    <xf numFmtId="164" fontId="8" fillId="5" borderId="0" xfId="0" applyNumberFormat="1" applyFont="1" applyFill="1"/>
    <xf numFmtId="164" fontId="6" fillId="6" borderId="0" xfId="0" applyNumberFormat="1" applyFont="1" applyFill="1" applyAlignment="1">
      <alignment horizontal="right"/>
    </xf>
    <xf numFmtId="164" fontId="5" fillId="6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164" fontId="9" fillId="4" borderId="0" xfId="0" applyNumberFormat="1" applyFont="1" applyFill="1" applyAlignment="1">
      <alignment horizontal="right"/>
    </xf>
    <xf numFmtId="164" fontId="9" fillId="4" borderId="0" xfId="0" applyNumberFormat="1" applyFont="1" applyFill="1"/>
    <xf numFmtId="0" fontId="5" fillId="0" borderId="0" xfId="0" applyFont="1"/>
    <xf numFmtId="165" fontId="5" fillId="4" borderId="0" xfId="0" applyNumberFormat="1" applyFont="1" applyFill="1" applyAlignment="1">
      <alignment horizontal="right"/>
    </xf>
    <xf numFmtId="164" fontId="7" fillId="6" borderId="0" xfId="0" applyNumberFormat="1" applyFont="1" applyFill="1"/>
    <xf numFmtId="0" fontId="6" fillId="0" borderId="0" xfId="0" applyFont="1"/>
    <xf numFmtId="0" fontId="10" fillId="0" borderId="0" xfId="0" applyFont="1"/>
    <xf numFmtId="165" fontId="9" fillId="4" borderId="0" xfId="0" applyNumberFormat="1" applyFont="1" applyFill="1" applyAlignment="1">
      <alignment horizontal="right"/>
    </xf>
    <xf numFmtId="0" fontId="2" fillId="6" borderId="0" xfId="0" applyFont="1" applyFill="1"/>
    <xf numFmtId="165" fontId="8" fillId="4" borderId="0" xfId="0" applyNumberFormat="1" applyFont="1" applyFill="1" applyAlignment="1">
      <alignment horizontal="right"/>
    </xf>
    <xf numFmtId="0" fontId="8" fillId="0" borderId="0" xfId="0" applyFont="1"/>
    <xf numFmtId="165" fontId="2" fillId="0" borderId="0" xfId="0" applyNumberFormat="1" applyFont="1"/>
    <xf numFmtId="165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10" fillId="6" borderId="0" xfId="0" applyFont="1" applyFill="1"/>
    <xf numFmtId="165" fontId="10" fillId="6" borderId="0" xfId="0" applyNumberFormat="1" applyFont="1" applyFill="1" applyAlignment="1">
      <alignment horizontal="right"/>
    </xf>
    <xf numFmtId="4" fontId="2" fillId="6" borderId="0" xfId="0" applyNumberFormat="1" applyFont="1" applyFill="1" applyAlignment="1">
      <alignment horizontal="right"/>
    </xf>
    <xf numFmtId="0" fontId="4" fillId="3" borderId="0" xfId="0" applyFont="1" applyFill="1"/>
    <xf numFmtId="0" fontId="0" fillId="0" borderId="0" xfId="0"/>
    <xf numFmtId="164" fontId="5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AB6-AC45-9A80-A456B57A81CC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EAB6-AC45-9A80-A456B57A81CC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EAB6-AC45-9A80-A456B57A81CC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EAB6-AC45-9A80-A456B57A81CC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EAB6-AC45-9A80-A456B57A81CC}"/>
              </c:ext>
            </c:extLst>
          </c:dPt>
          <c:cat>
            <c:strRef>
              <c:f>'2026'!$A$37:$A$41</c:f>
              <c:strCache>
                <c:ptCount val="5"/>
                <c:pt idx="0">
                  <c:v>Facebook</c:v>
                </c:pt>
                <c:pt idx="1">
                  <c:v>Google Adwords</c:v>
                </c:pt>
                <c:pt idx="2">
                  <c:v>Tiktok</c:v>
                </c:pt>
                <c:pt idx="3">
                  <c:v>Snapchat</c:v>
                </c:pt>
                <c:pt idx="4">
                  <c:v>Pinterest</c:v>
                </c:pt>
              </c:strCache>
            </c:strRef>
          </c:cat>
          <c:val>
            <c:numRef>
              <c:f>'2026'!$B$37:$B$41</c:f>
              <c:numCache>
                <c:formatCode>"$"#,##0.00</c:formatCode>
                <c:ptCount val="5"/>
                <c:pt idx="0">
                  <c:v>43708.74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AB6-AC45-9A80-A456B57A8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3A6B-AA40-AA9B-E494945FEE94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3A6B-AA40-AA9B-E494945FEE94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3A6B-AA40-AA9B-E494945FEE94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3A6B-AA40-AA9B-E494945FEE94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3A6B-AA40-AA9B-E494945FEE94}"/>
              </c:ext>
            </c:extLst>
          </c:dPt>
          <c:cat>
            <c:strRef>
              <c:f>'2025'!$A$37:$A$41</c:f>
              <c:strCache>
                <c:ptCount val="5"/>
                <c:pt idx="0">
                  <c:v>Facebook</c:v>
                </c:pt>
                <c:pt idx="1">
                  <c:v>Google Adwords</c:v>
                </c:pt>
                <c:pt idx="2">
                  <c:v>Tiktok</c:v>
                </c:pt>
                <c:pt idx="3">
                  <c:v>Snapchat</c:v>
                </c:pt>
                <c:pt idx="4">
                  <c:v>Pinterest</c:v>
                </c:pt>
              </c:strCache>
            </c:strRef>
          </c:cat>
          <c:val>
            <c:numRef>
              <c:f>'2025'!$B$37:$B$41</c:f>
              <c:numCache>
                <c:formatCode>"$"#,##0.00</c:formatCode>
                <c:ptCount val="5"/>
                <c:pt idx="0">
                  <c:v>101.61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A6B-AA40-AA9B-E494945FE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60B-E34A-940B-012C575786E7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A60B-E34A-940B-012C575786E7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A60B-E34A-940B-012C575786E7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A60B-E34A-940B-012C575786E7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A60B-E34A-940B-012C575786E7}"/>
              </c:ext>
            </c:extLst>
          </c:dPt>
          <c:cat>
            <c:strRef>
              <c:f>'2024'!$A$37:$A$41</c:f>
              <c:strCache>
                <c:ptCount val="5"/>
                <c:pt idx="0">
                  <c:v>Facebook</c:v>
                </c:pt>
                <c:pt idx="1">
                  <c:v>Google Adwords</c:v>
                </c:pt>
                <c:pt idx="2">
                  <c:v>Tiktok</c:v>
                </c:pt>
                <c:pt idx="3">
                  <c:v>Snapchat</c:v>
                </c:pt>
                <c:pt idx="4">
                  <c:v>Pinterest</c:v>
                </c:pt>
              </c:strCache>
            </c:strRef>
          </c:cat>
          <c:val>
            <c:numRef>
              <c:f>'2024'!$B$37:$B$41</c:f>
              <c:numCache>
                <c:formatCode>"$"#,##0.00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60B-E34A-940B-012C57578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860B-C849-83CF-3681D9A0EDAF}"/>
              </c:ext>
            </c:extLst>
          </c:dPt>
          <c:dPt>
            <c:idx val="1"/>
            <c:bubble3D val="0"/>
            <c:spPr>
              <a:solidFill>
                <a:srgbClr val="DB4437"/>
              </a:solidFill>
            </c:spPr>
            <c:extLst>
              <c:ext xmlns:c16="http://schemas.microsoft.com/office/drawing/2014/chart" uri="{C3380CC4-5D6E-409C-BE32-E72D297353CC}">
                <c16:uniqueId val="{00000003-860B-C849-83CF-3681D9A0EDAF}"/>
              </c:ext>
            </c:extLst>
          </c:dPt>
          <c:dPt>
            <c:idx val="2"/>
            <c:bubble3D val="0"/>
            <c:spPr>
              <a:solidFill>
                <a:srgbClr val="F4B400"/>
              </a:solidFill>
            </c:spPr>
            <c:extLst>
              <c:ext xmlns:c16="http://schemas.microsoft.com/office/drawing/2014/chart" uri="{C3380CC4-5D6E-409C-BE32-E72D297353CC}">
                <c16:uniqueId val="{00000005-860B-C849-83CF-3681D9A0EDAF}"/>
              </c:ext>
            </c:extLst>
          </c:dPt>
          <c:dPt>
            <c:idx val="3"/>
            <c:bubble3D val="0"/>
            <c:spPr>
              <a:solidFill>
                <a:srgbClr val="0F9D58"/>
              </a:solidFill>
            </c:spPr>
            <c:extLst>
              <c:ext xmlns:c16="http://schemas.microsoft.com/office/drawing/2014/chart" uri="{C3380CC4-5D6E-409C-BE32-E72D297353CC}">
                <c16:uniqueId val="{00000007-860B-C849-83CF-3681D9A0EDAF}"/>
              </c:ext>
            </c:extLst>
          </c:dPt>
          <c:dPt>
            <c:idx val="4"/>
            <c:bubble3D val="0"/>
            <c:spPr>
              <a:solidFill>
                <a:srgbClr val="FF6D00"/>
              </a:solidFill>
            </c:spPr>
            <c:extLst>
              <c:ext xmlns:c16="http://schemas.microsoft.com/office/drawing/2014/chart" uri="{C3380CC4-5D6E-409C-BE32-E72D297353CC}">
                <c16:uniqueId val="{00000009-860B-C849-83CF-3681D9A0EDAF}"/>
              </c:ext>
            </c:extLst>
          </c:dPt>
          <c:cat>
            <c:strRef>
              <c:f>'2023'!$A$37:$A$41</c:f>
              <c:strCache>
                <c:ptCount val="5"/>
                <c:pt idx="0">
                  <c:v>Facebook</c:v>
                </c:pt>
                <c:pt idx="1">
                  <c:v>Google Adwords</c:v>
                </c:pt>
                <c:pt idx="2">
                  <c:v>Tiktok</c:v>
                </c:pt>
                <c:pt idx="3">
                  <c:v>Snapchat</c:v>
                </c:pt>
                <c:pt idx="4">
                  <c:v>Pinterest</c:v>
                </c:pt>
              </c:strCache>
            </c:strRef>
          </c:cat>
          <c:val>
            <c:numRef>
              <c:f>'2023'!$B$37:$B$41</c:f>
              <c:numCache>
                <c:formatCode>"$"#,##0.00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60B-C849-83CF-3681D9A0E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000000"/>
              </a:solidFill>
              <a:latin typeface="Roboto"/>
            </a:defRPr>
          </a:pPr>
          <a:endParaRPr lang="en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619125</xdr:colOff>
      <xdr:row>35</xdr:row>
      <xdr:rowOff>47625</xdr:rowOff>
    </xdr:from>
    <xdr:ext cx="5772150" cy="35814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619125</xdr:colOff>
      <xdr:row>35</xdr:row>
      <xdr:rowOff>47625</xdr:rowOff>
    </xdr:from>
    <xdr:ext cx="5772150" cy="3581400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619125</xdr:colOff>
      <xdr:row>35</xdr:row>
      <xdr:rowOff>47625</xdr:rowOff>
    </xdr:from>
    <xdr:ext cx="5772150" cy="3581400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619125</xdr:colOff>
      <xdr:row>35</xdr:row>
      <xdr:rowOff>47625</xdr:rowOff>
    </xdr:from>
    <xdr:ext cx="5772150" cy="3581400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15</xdr:col>
      <xdr:colOff>381000</xdr:colOff>
      <xdr:row>19</xdr:row>
      <xdr:rowOff>104775</xdr:rowOff>
    </xdr:from>
    <xdr:ext cx="4581525" cy="458152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992"/>
  <sheetViews>
    <sheetView workbookViewId="0"/>
  </sheetViews>
  <sheetFormatPr baseColWidth="10" defaultColWidth="14.3984375" defaultRowHeight="15" customHeight="1" x14ac:dyDescent="0.2"/>
  <cols>
    <col min="1" max="1" width="38.796875" customWidth="1"/>
    <col min="2" max="6" width="14.3984375" customWidth="1"/>
    <col min="12" max="12" width="14.19921875" customWidth="1"/>
    <col min="14" max="14" width="24.19921875" customWidth="1"/>
  </cols>
  <sheetData>
    <row r="1" spans="1:26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3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>
        <v>2026</v>
      </c>
      <c r="C3" s="2">
        <v>2026</v>
      </c>
      <c r="D3" s="2">
        <v>2026</v>
      </c>
      <c r="E3" s="2">
        <v>2026</v>
      </c>
      <c r="F3" s="2">
        <v>2026</v>
      </c>
      <c r="G3" s="2">
        <v>2026</v>
      </c>
      <c r="H3" s="2">
        <v>2026</v>
      </c>
      <c r="I3" s="2">
        <v>2026</v>
      </c>
      <c r="J3" s="2">
        <v>2026</v>
      </c>
      <c r="K3" s="2">
        <v>2026</v>
      </c>
      <c r="L3" s="2">
        <v>2026</v>
      </c>
      <c r="M3" s="2">
        <v>2026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 t="s">
        <v>14</v>
      </c>
      <c r="B5" s="7">
        <v>894.8</v>
      </c>
      <c r="C5" s="8">
        <f>2104.7+4710.84</f>
        <v>6815.54</v>
      </c>
      <c r="D5" s="7">
        <f>77191.7-4983.08</f>
        <v>72208.62</v>
      </c>
      <c r="E5" s="8"/>
      <c r="F5" s="8"/>
      <c r="G5" s="9"/>
      <c r="H5" s="9"/>
      <c r="I5" s="9"/>
      <c r="J5" s="8"/>
      <c r="K5" s="9"/>
      <c r="L5" s="9"/>
      <c r="M5" s="9"/>
      <c r="N5" s="10">
        <f t="shared" ref="N5:N8" si="0">SUM(B5:M5)</f>
        <v>79918.959999999992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 t="s">
        <v>15</v>
      </c>
      <c r="B6" s="7">
        <v>0</v>
      </c>
      <c r="C6" s="8"/>
      <c r="D6" s="7">
        <f>776.03</f>
        <v>776.03</v>
      </c>
      <c r="E6" s="8"/>
      <c r="F6" s="7"/>
      <c r="G6" s="8"/>
      <c r="H6" s="9"/>
      <c r="I6" s="9"/>
      <c r="J6" s="11"/>
      <c r="K6" s="12"/>
      <c r="L6" s="9"/>
      <c r="M6" s="9"/>
      <c r="N6" s="10">
        <f t="shared" si="0"/>
        <v>776.03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 t="s">
        <v>16</v>
      </c>
      <c r="B7" s="13">
        <v>0</v>
      </c>
      <c r="C7" s="13">
        <v>149.94999999999999</v>
      </c>
      <c r="D7" s="13">
        <v>149.94</v>
      </c>
      <c r="E7" s="13"/>
      <c r="F7" s="13"/>
      <c r="G7" s="13"/>
      <c r="H7" s="13"/>
      <c r="I7" s="13"/>
      <c r="J7" s="13"/>
      <c r="K7" s="13"/>
      <c r="L7" s="13"/>
      <c r="M7" s="13"/>
      <c r="N7" s="10">
        <f t="shared" si="0"/>
        <v>299.89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4" t="s">
        <v>17</v>
      </c>
      <c r="B8" s="15">
        <f t="shared" ref="B8:M8" si="1">B5-B6-B7</f>
        <v>894.8</v>
      </c>
      <c r="C8" s="15">
        <f t="shared" si="1"/>
        <v>6665.59</v>
      </c>
      <c r="D8" s="15">
        <f t="shared" si="1"/>
        <v>71282.649999999994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0"/>
        <v>78843.039999999994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>
        <v>2026</v>
      </c>
      <c r="C10" s="2">
        <v>2026</v>
      </c>
      <c r="D10" s="2">
        <v>2026</v>
      </c>
      <c r="E10" s="2">
        <v>2026</v>
      </c>
      <c r="F10" s="2">
        <v>2026</v>
      </c>
      <c r="G10" s="2">
        <v>2026</v>
      </c>
      <c r="H10" s="2">
        <v>2026</v>
      </c>
      <c r="I10" s="2">
        <v>2026</v>
      </c>
      <c r="J10" s="2">
        <v>2026</v>
      </c>
      <c r="K10" s="2">
        <v>2026</v>
      </c>
      <c r="L10" s="2">
        <v>2026</v>
      </c>
      <c r="M10" s="2">
        <v>2026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5" t="s">
        <v>18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6" t="s">
        <v>13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 t="s">
        <v>19</v>
      </c>
      <c r="B12" s="16">
        <v>205.31</v>
      </c>
      <c r="C12" s="16">
        <f>708.49+1233.87</f>
        <v>1942.36</v>
      </c>
      <c r="D12" s="16">
        <f>12889.61</f>
        <v>12889.61</v>
      </c>
      <c r="E12" s="16"/>
      <c r="F12" s="16"/>
      <c r="G12" s="16"/>
      <c r="H12" s="8"/>
      <c r="I12" s="16"/>
      <c r="J12" s="16"/>
      <c r="K12" s="17"/>
      <c r="L12" s="7"/>
      <c r="M12" s="7"/>
      <c r="N12" s="18">
        <f t="shared" ref="N12:N13" si="2">SUM(B12:M12)</f>
        <v>15037.28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4" t="s">
        <v>20</v>
      </c>
      <c r="B13" s="19">
        <f t="shared" ref="B13:M13" si="3">B8-B12</f>
        <v>689.49</v>
      </c>
      <c r="C13" s="19">
        <f t="shared" si="3"/>
        <v>4723.2300000000005</v>
      </c>
      <c r="D13" s="19">
        <f t="shared" si="3"/>
        <v>58393.039999999994</v>
      </c>
      <c r="E13" s="19">
        <f t="shared" si="3"/>
        <v>0</v>
      </c>
      <c r="F13" s="19">
        <f t="shared" si="3"/>
        <v>0</v>
      </c>
      <c r="G13" s="19">
        <f t="shared" si="3"/>
        <v>0</v>
      </c>
      <c r="H13" s="19">
        <f t="shared" si="3"/>
        <v>0</v>
      </c>
      <c r="I13" s="19">
        <f t="shared" si="3"/>
        <v>0</v>
      </c>
      <c r="J13" s="19">
        <f t="shared" si="3"/>
        <v>0</v>
      </c>
      <c r="K13" s="19">
        <f t="shared" si="3"/>
        <v>0</v>
      </c>
      <c r="L13" s="19">
        <f t="shared" si="3"/>
        <v>0</v>
      </c>
      <c r="M13" s="19">
        <f t="shared" si="3"/>
        <v>0</v>
      </c>
      <c r="N13" s="20">
        <f t="shared" si="2"/>
        <v>63805.759999999995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>
        <v>2026</v>
      </c>
      <c r="C15" s="2">
        <v>2026</v>
      </c>
      <c r="D15" s="2">
        <v>2026</v>
      </c>
      <c r="E15" s="2">
        <v>2026</v>
      </c>
      <c r="F15" s="2">
        <v>2026</v>
      </c>
      <c r="G15" s="2">
        <v>2026</v>
      </c>
      <c r="H15" s="2">
        <v>2026</v>
      </c>
      <c r="I15" s="2">
        <v>2026</v>
      </c>
      <c r="J15" s="2">
        <v>2026</v>
      </c>
      <c r="K15" s="2">
        <v>2026</v>
      </c>
      <c r="L15" s="2">
        <v>2026</v>
      </c>
      <c r="M15" s="2">
        <v>2026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5" t="s">
        <v>21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M16" s="5" t="s">
        <v>12</v>
      </c>
      <c r="N16" s="6" t="s">
        <v>13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1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2">
        <f t="shared" ref="N17:N30" si="4">SUM(B17:M17)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1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7"/>
      <c r="L18" s="7"/>
      <c r="M18" s="7"/>
      <c r="N18" s="22">
        <f t="shared" si="4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1" t="s">
        <v>24</v>
      </c>
      <c r="B19" s="12">
        <v>1715.38</v>
      </c>
      <c r="C19" s="12">
        <f>5013.02</f>
        <v>5013.0200000000004</v>
      </c>
      <c r="D19" s="12">
        <f>36980.34</f>
        <v>36980.339999999997</v>
      </c>
      <c r="E19" s="12"/>
      <c r="F19" s="12"/>
      <c r="G19" s="12"/>
      <c r="H19" s="12"/>
      <c r="I19" s="12"/>
      <c r="J19" s="12"/>
      <c r="K19" s="17"/>
      <c r="L19" s="7"/>
      <c r="M19" s="7"/>
      <c r="N19" s="22">
        <f t="shared" si="4"/>
        <v>43708.74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1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2">
        <f t="shared" si="4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1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2">
        <f t="shared" si="4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1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2">
        <f t="shared" si="4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1" t="s">
        <v>28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23"/>
      <c r="N23" s="22">
        <f t="shared" si="4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1" t="s">
        <v>29</v>
      </c>
      <c r="B24" s="12">
        <v>18.12</v>
      </c>
      <c r="C24" s="12">
        <f>91.64</f>
        <v>91.64</v>
      </c>
      <c r="D24" s="38">
        <f>214.2</f>
        <v>214.2</v>
      </c>
      <c r="E24" s="12"/>
      <c r="F24" s="12"/>
      <c r="G24" s="12"/>
      <c r="H24" s="12"/>
      <c r="I24" s="12"/>
      <c r="J24" s="12"/>
      <c r="K24" s="12"/>
      <c r="L24" s="12"/>
      <c r="M24" s="23"/>
      <c r="N24" s="22">
        <f t="shared" si="4"/>
        <v>323.95999999999998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1" t="s">
        <v>30</v>
      </c>
      <c r="B25" s="12"/>
      <c r="C25" s="12"/>
      <c r="D25" s="37"/>
      <c r="E25" s="12"/>
      <c r="F25" s="12"/>
      <c r="G25" s="12"/>
      <c r="H25" s="12"/>
      <c r="I25" s="12"/>
      <c r="J25" s="12"/>
      <c r="K25" s="17"/>
      <c r="L25" s="7"/>
      <c r="M25" s="7"/>
      <c r="N25" s="22">
        <f t="shared" si="4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4" t="s">
        <v>31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2">
        <f t="shared" si="4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1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2">
        <f t="shared" si="4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1" t="s">
        <v>33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2">
        <f t="shared" si="4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5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2">
        <f t="shared" si="4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4" t="s">
        <v>35</v>
      </c>
      <c r="B30" s="26">
        <f t="shared" ref="B30:M30" si="5">SUM(B17:B29)</f>
        <v>1733.5</v>
      </c>
      <c r="C30" s="26">
        <f t="shared" si="5"/>
        <v>5104.6600000000008</v>
      </c>
      <c r="D30" s="26">
        <f t="shared" si="5"/>
        <v>37194.539999999994</v>
      </c>
      <c r="E30" s="26">
        <f t="shared" si="5"/>
        <v>0</v>
      </c>
      <c r="F30" s="26">
        <f t="shared" si="5"/>
        <v>0</v>
      </c>
      <c r="G30" s="26">
        <f t="shared" si="5"/>
        <v>0</v>
      </c>
      <c r="H30" s="26">
        <f t="shared" si="5"/>
        <v>0</v>
      </c>
      <c r="I30" s="26">
        <f t="shared" si="5"/>
        <v>0</v>
      </c>
      <c r="J30" s="26">
        <f t="shared" si="5"/>
        <v>0</v>
      </c>
      <c r="K30" s="26">
        <f t="shared" si="5"/>
        <v>0</v>
      </c>
      <c r="L30" s="26">
        <f t="shared" si="5"/>
        <v>0</v>
      </c>
      <c r="M30" s="26">
        <f t="shared" si="5"/>
        <v>0</v>
      </c>
      <c r="N30" s="26">
        <f t="shared" si="4"/>
        <v>44032.7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5" t="s">
        <v>36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8</v>
      </c>
      <c r="J32" s="5" t="s">
        <v>9</v>
      </c>
      <c r="K32" s="5" t="s">
        <v>10</v>
      </c>
      <c r="L32" s="5" t="s">
        <v>11</v>
      </c>
      <c r="M32" s="5" t="s">
        <v>12</v>
      </c>
      <c r="N32" s="6" t="s">
        <v>37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4" t="s">
        <v>38</v>
      </c>
      <c r="B33" s="28" t="e">
        <f t="shared" ref="B33:M33" ca="1" si="6">MINUS(B13,B30)</f>
        <v>#NAME?</v>
      </c>
      <c r="C33" s="28" t="e">
        <f t="shared" ca="1" si="6"/>
        <v>#NAME?</v>
      </c>
      <c r="D33" s="28" t="e">
        <f t="shared" ca="1" si="6"/>
        <v>#NAME?</v>
      </c>
      <c r="E33" s="28" t="e">
        <f t="shared" ca="1" si="6"/>
        <v>#NAME?</v>
      </c>
      <c r="F33" s="28" t="e">
        <f t="shared" ca="1" si="6"/>
        <v>#NAME?</v>
      </c>
      <c r="G33" s="28" t="e">
        <f t="shared" ca="1" si="6"/>
        <v>#NAME?</v>
      </c>
      <c r="H33" s="28" t="e">
        <f t="shared" ca="1" si="6"/>
        <v>#NAME?</v>
      </c>
      <c r="I33" s="28" t="e">
        <f t="shared" ca="1" si="6"/>
        <v>#NAME?</v>
      </c>
      <c r="J33" s="28" t="e">
        <f t="shared" ca="1" si="6"/>
        <v>#NAME?</v>
      </c>
      <c r="K33" s="28" t="e">
        <f t="shared" ca="1" si="6"/>
        <v>#NAME?</v>
      </c>
      <c r="L33" s="28" t="e">
        <f t="shared" ca="1" si="6"/>
        <v>#NAME?</v>
      </c>
      <c r="M33" s="28" t="e">
        <f t="shared" ca="1" si="6"/>
        <v>#NAME?</v>
      </c>
      <c r="N33" s="28" t="e">
        <f ca="1">SUM(B33:M33)</f>
        <v>#NAME?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36" t="s">
        <v>39</v>
      </c>
      <c r="B36" s="3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 t="s">
        <v>24</v>
      </c>
      <c r="B37" s="30">
        <f>SUM(N19)</f>
        <v>43708.74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 t="s">
        <v>40</v>
      </c>
      <c r="B38" s="3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 t="s">
        <v>41</v>
      </c>
      <c r="B39" s="3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 t="s">
        <v>25</v>
      </c>
      <c r="B40" s="3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 t="s">
        <v>26</v>
      </c>
      <c r="B41" s="3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3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7"/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7"/>
      <c r="B48" s="3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33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7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2">
    <mergeCell ref="A36:B36"/>
    <mergeCell ref="D24:D25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92"/>
  <sheetViews>
    <sheetView tabSelected="1" topLeftCell="C7" workbookViewId="0">
      <selection activeCell="M19" sqref="M19"/>
    </sheetView>
  </sheetViews>
  <sheetFormatPr baseColWidth="10" defaultColWidth="14.3984375" defaultRowHeight="15" customHeight="1" x14ac:dyDescent="0.2"/>
  <cols>
    <col min="1" max="1" width="38.796875" customWidth="1"/>
    <col min="2" max="6" width="14.3984375" customWidth="1"/>
    <col min="12" max="12" width="14.19921875" customWidth="1"/>
    <col min="14" max="14" width="24.19921875" customWidth="1"/>
  </cols>
  <sheetData>
    <row r="1" spans="1:26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3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>
        <v>2025</v>
      </c>
      <c r="C3" s="2">
        <v>2025</v>
      </c>
      <c r="D3" s="2">
        <v>2025</v>
      </c>
      <c r="E3" s="2">
        <v>2025</v>
      </c>
      <c r="F3" s="2">
        <v>2025</v>
      </c>
      <c r="G3" s="2">
        <v>2025</v>
      </c>
      <c r="H3" s="2">
        <v>2025</v>
      </c>
      <c r="I3" s="2">
        <v>2025</v>
      </c>
      <c r="J3" s="2">
        <v>2025</v>
      </c>
      <c r="K3" s="2">
        <v>2025</v>
      </c>
      <c r="L3" s="2">
        <v>2025</v>
      </c>
      <c r="M3" s="2">
        <v>2025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 t="s">
        <v>14</v>
      </c>
      <c r="B5" s="7"/>
      <c r="C5" s="8"/>
      <c r="D5" s="7"/>
      <c r="E5" s="8"/>
      <c r="F5" s="8"/>
      <c r="G5" s="9"/>
      <c r="H5" s="9"/>
      <c r="I5" s="9"/>
      <c r="J5" s="8"/>
      <c r="K5" s="9"/>
      <c r="L5" s="9"/>
      <c r="M5" s="9">
        <v>646.09</v>
      </c>
      <c r="N5" s="10">
        <f t="shared" ref="N5:N8" si="0">SUM(B5:M5)</f>
        <v>646.09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 t="s">
        <v>15</v>
      </c>
      <c r="B6" s="7"/>
      <c r="C6" s="8"/>
      <c r="D6" s="7"/>
      <c r="E6" s="8"/>
      <c r="F6" s="7"/>
      <c r="G6" s="8"/>
      <c r="H6" s="9"/>
      <c r="I6" s="9"/>
      <c r="J6" s="11"/>
      <c r="K6" s="12"/>
      <c r="L6" s="9"/>
      <c r="M6" s="9"/>
      <c r="N6" s="10">
        <f t="shared" si="0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0">
        <f t="shared" si="0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4" t="s">
        <v>17</v>
      </c>
      <c r="B8" s="15">
        <f t="shared" ref="B8:M8" si="1">B5-B6-B7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646.09</v>
      </c>
      <c r="N8" s="15">
        <f t="shared" si="0"/>
        <v>646.09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>
        <v>2025</v>
      </c>
      <c r="C10" s="2">
        <v>2025</v>
      </c>
      <c r="D10" s="2">
        <v>2025</v>
      </c>
      <c r="E10" s="2">
        <v>2025</v>
      </c>
      <c r="F10" s="2">
        <v>2025</v>
      </c>
      <c r="G10" s="2">
        <v>2025</v>
      </c>
      <c r="H10" s="2">
        <v>2025</v>
      </c>
      <c r="I10" s="2">
        <v>2025</v>
      </c>
      <c r="J10" s="2">
        <v>2025</v>
      </c>
      <c r="K10" s="2">
        <v>2025</v>
      </c>
      <c r="L10" s="2">
        <v>2025</v>
      </c>
      <c r="M10" s="2">
        <v>2025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5" t="s">
        <v>18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6" t="s">
        <v>13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 t="s">
        <v>19</v>
      </c>
      <c r="B12" s="16"/>
      <c r="C12" s="16"/>
      <c r="D12" s="16"/>
      <c r="E12" s="16"/>
      <c r="F12" s="16"/>
      <c r="G12" s="16"/>
      <c r="H12" s="8"/>
      <c r="I12" s="16"/>
      <c r="J12" s="16"/>
      <c r="K12" s="17"/>
      <c r="L12" s="7"/>
      <c r="M12" s="13">
        <f>134.13+30.35</f>
        <v>164.48</v>
      </c>
      <c r="N12" s="18">
        <f t="shared" ref="N12:N13" si="2">SUM(B12:M12)</f>
        <v>164.48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4" t="s">
        <v>20</v>
      </c>
      <c r="B13" s="19">
        <f t="shared" ref="B13:M13" si="3">B8-B12</f>
        <v>0</v>
      </c>
      <c r="C13" s="19">
        <f t="shared" si="3"/>
        <v>0</v>
      </c>
      <c r="D13" s="19">
        <f t="shared" si="3"/>
        <v>0</v>
      </c>
      <c r="E13" s="19">
        <f t="shared" si="3"/>
        <v>0</v>
      </c>
      <c r="F13" s="19">
        <f t="shared" si="3"/>
        <v>0</v>
      </c>
      <c r="G13" s="19">
        <f t="shared" si="3"/>
        <v>0</v>
      </c>
      <c r="H13" s="19">
        <f t="shared" si="3"/>
        <v>0</v>
      </c>
      <c r="I13" s="19">
        <f t="shared" si="3"/>
        <v>0</v>
      </c>
      <c r="J13" s="19">
        <f t="shared" si="3"/>
        <v>0</v>
      </c>
      <c r="K13" s="19">
        <f t="shared" si="3"/>
        <v>0</v>
      </c>
      <c r="L13" s="19">
        <f t="shared" si="3"/>
        <v>0</v>
      </c>
      <c r="M13" s="19">
        <f t="shared" si="3"/>
        <v>481.61</v>
      </c>
      <c r="N13" s="20">
        <f t="shared" si="2"/>
        <v>481.61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>
        <v>2025</v>
      </c>
      <c r="C15" s="2">
        <v>2025</v>
      </c>
      <c r="D15" s="2">
        <v>2025</v>
      </c>
      <c r="E15" s="2">
        <v>2025</v>
      </c>
      <c r="F15" s="2">
        <v>2025</v>
      </c>
      <c r="G15" s="2">
        <v>2025</v>
      </c>
      <c r="H15" s="2">
        <v>2025</v>
      </c>
      <c r="I15" s="2">
        <v>2025</v>
      </c>
      <c r="J15" s="2">
        <v>2025</v>
      </c>
      <c r="K15" s="2">
        <v>2025</v>
      </c>
      <c r="L15" s="2">
        <v>2025</v>
      </c>
      <c r="M15" s="2">
        <v>2025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5" t="s">
        <v>21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M16" s="5" t="s">
        <v>12</v>
      </c>
      <c r="N16" s="6" t="s">
        <v>13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1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2">
        <f t="shared" ref="N17:N30" si="4">SUM(B17:M17)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1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7"/>
      <c r="L18" s="7"/>
      <c r="M18" s="7"/>
      <c r="N18" s="22">
        <f t="shared" si="4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1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17"/>
      <c r="L19" s="7"/>
      <c r="M19" s="7">
        <v>101.61</v>
      </c>
      <c r="N19" s="22">
        <f t="shared" si="4"/>
        <v>101.61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1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2">
        <f t="shared" si="4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1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2">
        <f t="shared" si="4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1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2">
        <f t="shared" si="4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1" t="s">
        <v>28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23"/>
      <c r="N23" s="22">
        <f t="shared" si="4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1" t="s">
        <v>29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23"/>
      <c r="N24" s="22">
        <f t="shared" si="4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1" t="s">
        <v>31</v>
      </c>
      <c r="B25" s="12"/>
      <c r="C25" s="12"/>
      <c r="D25" s="12"/>
      <c r="E25" s="12"/>
      <c r="F25" s="12"/>
      <c r="G25" s="12"/>
      <c r="H25" s="12"/>
      <c r="I25" s="12"/>
      <c r="J25" s="12"/>
      <c r="K25" s="17"/>
      <c r="L25" s="7"/>
      <c r="M25" s="7"/>
      <c r="N25" s="22">
        <f t="shared" si="4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4" t="s">
        <v>30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2">
        <f t="shared" si="4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1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2">
        <f t="shared" si="4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1" t="s">
        <v>33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2">
        <f t="shared" si="4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5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2">
        <f t="shared" si="4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4" t="s">
        <v>35</v>
      </c>
      <c r="B30" s="26">
        <f t="shared" ref="B30:M30" si="5">SUM(B17:B29)</f>
        <v>0</v>
      </c>
      <c r="C30" s="26">
        <f t="shared" si="5"/>
        <v>0</v>
      </c>
      <c r="D30" s="26">
        <f t="shared" si="5"/>
        <v>0</v>
      </c>
      <c r="E30" s="26">
        <f t="shared" si="5"/>
        <v>0</v>
      </c>
      <c r="F30" s="26">
        <f t="shared" si="5"/>
        <v>0</v>
      </c>
      <c r="G30" s="26">
        <f t="shared" si="5"/>
        <v>0</v>
      </c>
      <c r="H30" s="26">
        <f t="shared" si="5"/>
        <v>0</v>
      </c>
      <c r="I30" s="26">
        <f t="shared" si="5"/>
        <v>0</v>
      </c>
      <c r="J30" s="26">
        <f t="shared" si="5"/>
        <v>0</v>
      </c>
      <c r="K30" s="26">
        <f t="shared" si="5"/>
        <v>0</v>
      </c>
      <c r="L30" s="26">
        <f t="shared" si="5"/>
        <v>0</v>
      </c>
      <c r="M30" s="26">
        <f t="shared" si="5"/>
        <v>101.61</v>
      </c>
      <c r="N30" s="26">
        <f t="shared" si="4"/>
        <v>101.61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5" t="s">
        <v>36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8</v>
      </c>
      <c r="J32" s="5" t="s">
        <v>9</v>
      </c>
      <c r="K32" s="5" t="s">
        <v>10</v>
      </c>
      <c r="L32" s="5" t="s">
        <v>11</v>
      </c>
      <c r="M32" s="5" t="s">
        <v>12</v>
      </c>
      <c r="N32" s="6" t="s">
        <v>37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4" t="s">
        <v>38</v>
      </c>
      <c r="B33" s="28" t="e">
        <f t="shared" ref="B33:M33" ca="1" si="6">MINUS(B13,B30)</f>
        <v>#NAME?</v>
      </c>
      <c r="C33" s="28" t="e">
        <f t="shared" ca="1" si="6"/>
        <v>#NAME?</v>
      </c>
      <c r="D33" s="28" t="e">
        <f t="shared" ca="1" si="6"/>
        <v>#NAME?</v>
      </c>
      <c r="E33" s="28" t="e">
        <f t="shared" ca="1" si="6"/>
        <v>#NAME?</v>
      </c>
      <c r="F33" s="28" t="e">
        <f t="shared" ca="1" si="6"/>
        <v>#NAME?</v>
      </c>
      <c r="G33" s="28" t="e">
        <f t="shared" ca="1" si="6"/>
        <v>#NAME?</v>
      </c>
      <c r="H33" s="28" t="e">
        <f t="shared" ca="1" si="6"/>
        <v>#NAME?</v>
      </c>
      <c r="I33" s="28" t="e">
        <f t="shared" ca="1" si="6"/>
        <v>#NAME?</v>
      </c>
      <c r="J33" s="28" t="e">
        <f t="shared" ca="1" si="6"/>
        <v>#NAME?</v>
      </c>
      <c r="K33" s="28" t="e">
        <f t="shared" ca="1" si="6"/>
        <v>#NAME?</v>
      </c>
      <c r="L33" s="28" t="e">
        <f t="shared" ca="1" si="6"/>
        <v>#NAME?</v>
      </c>
      <c r="M33" s="28" t="e">
        <f t="shared" ca="1" si="6"/>
        <v>#NAME?</v>
      </c>
      <c r="N33" s="28" t="e">
        <f ca="1">SUM(B33:M33)</f>
        <v>#NAME?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36" t="s">
        <v>39</v>
      </c>
      <c r="B36" s="3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 t="s">
        <v>24</v>
      </c>
      <c r="B37" s="30">
        <f>SUM(N19)</f>
        <v>101.61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 t="s">
        <v>40</v>
      </c>
      <c r="B38" s="3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 t="s">
        <v>41</v>
      </c>
      <c r="B39" s="3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 t="s">
        <v>25</v>
      </c>
      <c r="B40" s="3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 t="s">
        <v>26</v>
      </c>
      <c r="B41" s="3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3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7"/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7"/>
      <c r="B48" s="3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33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7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">
    <mergeCell ref="A36:B36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92"/>
  <sheetViews>
    <sheetView workbookViewId="0"/>
  </sheetViews>
  <sheetFormatPr baseColWidth="10" defaultColWidth="14.3984375" defaultRowHeight="15" customHeight="1" x14ac:dyDescent="0.2"/>
  <cols>
    <col min="1" max="1" width="38.796875" customWidth="1"/>
    <col min="2" max="6" width="14.3984375" customWidth="1"/>
    <col min="12" max="12" width="14.19921875" customWidth="1"/>
    <col min="14" max="14" width="24.19921875" customWidth="1"/>
  </cols>
  <sheetData>
    <row r="1" spans="1:26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3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>
        <v>2024</v>
      </c>
      <c r="C3" s="2">
        <v>2024</v>
      </c>
      <c r="D3" s="2">
        <v>2024</v>
      </c>
      <c r="E3" s="2">
        <v>2024</v>
      </c>
      <c r="F3" s="2">
        <v>2024</v>
      </c>
      <c r="G3" s="2">
        <v>2024</v>
      </c>
      <c r="H3" s="2">
        <v>2024</v>
      </c>
      <c r="I3" s="2">
        <v>2024</v>
      </c>
      <c r="J3" s="2">
        <v>2024</v>
      </c>
      <c r="K3" s="2">
        <v>2024</v>
      </c>
      <c r="L3" s="2">
        <v>2024</v>
      </c>
      <c r="M3" s="2">
        <v>2024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 t="s">
        <v>14</v>
      </c>
      <c r="B5" s="7"/>
      <c r="C5" s="8"/>
      <c r="D5" s="7"/>
      <c r="E5" s="8"/>
      <c r="F5" s="8"/>
      <c r="G5" s="9"/>
      <c r="H5" s="9"/>
      <c r="I5" s="9"/>
      <c r="J5" s="8"/>
      <c r="K5" s="9"/>
      <c r="L5" s="9"/>
      <c r="M5" s="9"/>
      <c r="N5" s="10">
        <f t="shared" ref="N5:N8" si="0">SUM(B5:M5)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 t="s">
        <v>15</v>
      </c>
      <c r="B6" s="7"/>
      <c r="C6" s="8"/>
      <c r="D6" s="7"/>
      <c r="E6" s="8"/>
      <c r="F6" s="7"/>
      <c r="G6" s="8"/>
      <c r="H6" s="9"/>
      <c r="I6" s="9"/>
      <c r="J6" s="11"/>
      <c r="K6" s="12"/>
      <c r="L6" s="9"/>
      <c r="M6" s="9"/>
      <c r="N6" s="10">
        <f t="shared" si="0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0">
        <f t="shared" si="0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4" t="s">
        <v>17</v>
      </c>
      <c r="B8" s="15">
        <f t="shared" ref="B8:M8" si="1">B5-B6-B7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0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>
        <v>2024</v>
      </c>
      <c r="C10" s="2">
        <v>2024</v>
      </c>
      <c r="D10" s="2">
        <v>2024</v>
      </c>
      <c r="E10" s="2">
        <v>2024</v>
      </c>
      <c r="F10" s="2">
        <v>2024</v>
      </c>
      <c r="G10" s="2">
        <v>2024</v>
      </c>
      <c r="H10" s="2">
        <v>2024</v>
      </c>
      <c r="I10" s="2">
        <v>2024</v>
      </c>
      <c r="J10" s="2">
        <v>2024</v>
      </c>
      <c r="K10" s="2">
        <v>2024</v>
      </c>
      <c r="L10" s="2">
        <v>2024</v>
      </c>
      <c r="M10" s="2">
        <v>2024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5" t="s">
        <v>18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6" t="s">
        <v>13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 t="s">
        <v>19</v>
      </c>
      <c r="B12" s="16"/>
      <c r="C12" s="16"/>
      <c r="D12" s="16"/>
      <c r="E12" s="16"/>
      <c r="F12" s="16"/>
      <c r="G12" s="16"/>
      <c r="H12" s="8"/>
      <c r="I12" s="16"/>
      <c r="J12" s="16"/>
      <c r="K12" s="17"/>
      <c r="L12" s="7"/>
      <c r="M12" s="7"/>
      <c r="N12" s="18">
        <f t="shared" ref="N12:N13" si="2">SUM(B12:M12)</f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4" t="s">
        <v>20</v>
      </c>
      <c r="B13" s="19">
        <f t="shared" ref="B13:M13" si="3">B8-B12</f>
        <v>0</v>
      </c>
      <c r="C13" s="19">
        <f t="shared" si="3"/>
        <v>0</v>
      </c>
      <c r="D13" s="19">
        <f t="shared" si="3"/>
        <v>0</v>
      </c>
      <c r="E13" s="19">
        <f t="shared" si="3"/>
        <v>0</v>
      </c>
      <c r="F13" s="19">
        <f t="shared" si="3"/>
        <v>0</v>
      </c>
      <c r="G13" s="19">
        <f t="shared" si="3"/>
        <v>0</v>
      </c>
      <c r="H13" s="19">
        <f t="shared" si="3"/>
        <v>0</v>
      </c>
      <c r="I13" s="19">
        <f t="shared" si="3"/>
        <v>0</v>
      </c>
      <c r="J13" s="19">
        <f t="shared" si="3"/>
        <v>0</v>
      </c>
      <c r="K13" s="19">
        <f t="shared" si="3"/>
        <v>0</v>
      </c>
      <c r="L13" s="19">
        <f t="shared" si="3"/>
        <v>0</v>
      </c>
      <c r="M13" s="19">
        <f t="shared" si="3"/>
        <v>0</v>
      </c>
      <c r="N13" s="20">
        <f t="shared" si="2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>
        <v>2024</v>
      </c>
      <c r="C15" s="2">
        <v>2024</v>
      </c>
      <c r="D15" s="2">
        <v>2024</v>
      </c>
      <c r="E15" s="2">
        <v>2024</v>
      </c>
      <c r="F15" s="2">
        <v>2024</v>
      </c>
      <c r="G15" s="2">
        <v>2024</v>
      </c>
      <c r="H15" s="2">
        <v>2024</v>
      </c>
      <c r="I15" s="2">
        <v>2024</v>
      </c>
      <c r="J15" s="2">
        <v>2024</v>
      </c>
      <c r="K15" s="2">
        <v>2024</v>
      </c>
      <c r="L15" s="2">
        <v>2024</v>
      </c>
      <c r="M15" s="2">
        <v>2024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5" t="s">
        <v>21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M16" s="5" t="s">
        <v>12</v>
      </c>
      <c r="N16" s="6" t="s">
        <v>13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1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2">
        <f t="shared" ref="N17:N30" si="4">SUM(B17:M17)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1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7"/>
      <c r="L18" s="7"/>
      <c r="M18" s="7"/>
      <c r="N18" s="22">
        <f t="shared" si="4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1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17"/>
      <c r="L19" s="7"/>
      <c r="M19" s="7"/>
      <c r="N19" s="22">
        <f t="shared" si="4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1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2">
        <f t="shared" si="4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1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2">
        <f t="shared" si="4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1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2">
        <f t="shared" si="4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1" t="s">
        <v>28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23"/>
      <c r="N23" s="22">
        <f t="shared" si="4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1" t="s">
        <v>29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23"/>
      <c r="N24" s="22">
        <f t="shared" si="4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1" t="s">
        <v>31</v>
      </c>
      <c r="B25" s="12"/>
      <c r="C25" s="12"/>
      <c r="D25" s="12"/>
      <c r="E25" s="12"/>
      <c r="F25" s="12"/>
      <c r="G25" s="12"/>
      <c r="H25" s="12"/>
      <c r="I25" s="12"/>
      <c r="J25" s="12"/>
      <c r="K25" s="17"/>
      <c r="L25" s="7"/>
      <c r="M25" s="7"/>
      <c r="N25" s="22">
        <f t="shared" si="4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4" t="s">
        <v>30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2">
        <f t="shared" si="4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1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2">
        <f t="shared" si="4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1" t="s">
        <v>33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2">
        <f t="shared" si="4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5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2">
        <f t="shared" si="4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4" t="s">
        <v>35</v>
      </c>
      <c r="B30" s="26">
        <f t="shared" ref="B30:M30" si="5">SUM(B17:B29)</f>
        <v>0</v>
      </c>
      <c r="C30" s="26">
        <f t="shared" si="5"/>
        <v>0</v>
      </c>
      <c r="D30" s="26">
        <f t="shared" si="5"/>
        <v>0</v>
      </c>
      <c r="E30" s="26">
        <f t="shared" si="5"/>
        <v>0</v>
      </c>
      <c r="F30" s="26">
        <f t="shared" si="5"/>
        <v>0</v>
      </c>
      <c r="G30" s="26">
        <f t="shared" si="5"/>
        <v>0</v>
      </c>
      <c r="H30" s="26">
        <f t="shared" si="5"/>
        <v>0</v>
      </c>
      <c r="I30" s="26">
        <f t="shared" si="5"/>
        <v>0</v>
      </c>
      <c r="J30" s="26">
        <f t="shared" si="5"/>
        <v>0</v>
      </c>
      <c r="K30" s="26">
        <f t="shared" si="5"/>
        <v>0</v>
      </c>
      <c r="L30" s="26">
        <f t="shared" si="5"/>
        <v>0</v>
      </c>
      <c r="M30" s="26">
        <f t="shared" si="5"/>
        <v>0</v>
      </c>
      <c r="N30" s="26">
        <f t="shared" si="4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5" t="s">
        <v>36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8</v>
      </c>
      <c r="J32" s="5" t="s">
        <v>9</v>
      </c>
      <c r="K32" s="5" t="s">
        <v>10</v>
      </c>
      <c r="L32" s="5" t="s">
        <v>11</v>
      </c>
      <c r="M32" s="5" t="s">
        <v>12</v>
      </c>
      <c r="N32" s="6" t="s">
        <v>37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4" t="s">
        <v>38</v>
      </c>
      <c r="B33" s="28" t="e">
        <f t="shared" ref="B33:M33" ca="1" si="6">MINUS(B13,B30)</f>
        <v>#NAME?</v>
      </c>
      <c r="C33" s="28" t="e">
        <f t="shared" ca="1" si="6"/>
        <v>#NAME?</v>
      </c>
      <c r="D33" s="28" t="e">
        <f t="shared" ca="1" si="6"/>
        <v>#NAME?</v>
      </c>
      <c r="E33" s="28" t="e">
        <f t="shared" ca="1" si="6"/>
        <v>#NAME?</v>
      </c>
      <c r="F33" s="28" t="e">
        <f t="shared" ca="1" si="6"/>
        <v>#NAME?</v>
      </c>
      <c r="G33" s="28" t="e">
        <f t="shared" ca="1" si="6"/>
        <v>#NAME?</v>
      </c>
      <c r="H33" s="28" t="e">
        <f t="shared" ca="1" si="6"/>
        <v>#NAME?</v>
      </c>
      <c r="I33" s="28" t="e">
        <f t="shared" ca="1" si="6"/>
        <v>#NAME?</v>
      </c>
      <c r="J33" s="28" t="e">
        <f t="shared" ca="1" si="6"/>
        <v>#NAME?</v>
      </c>
      <c r="K33" s="28" t="e">
        <f t="shared" ca="1" si="6"/>
        <v>#NAME?</v>
      </c>
      <c r="L33" s="28" t="e">
        <f t="shared" ca="1" si="6"/>
        <v>#NAME?</v>
      </c>
      <c r="M33" s="28" t="e">
        <f t="shared" ca="1" si="6"/>
        <v>#NAME?</v>
      </c>
      <c r="N33" s="28" t="e">
        <f ca="1">SUM(B33:M33)</f>
        <v>#NAME?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36" t="s">
        <v>39</v>
      </c>
      <c r="B36" s="3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 t="s">
        <v>24</v>
      </c>
      <c r="B37" s="3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 t="s">
        <v>40</v>
      </c>
      <c r="B38" s="3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 t="s">
        <v>41</v>
      </c>
      <c r="B39" s="3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 t="s">
        <v>25</v>
      </c>
      <c r="B40" s="3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 t="s">
        <v>26</v>
      </c>
      <c r="B41" s="3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3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7"/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7"/>
      <c r="B48" s="3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33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7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">
    <mergeCell ref="A36:B36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Z992"/>
  <sheetViews>
    <sheetView workbookViewId="0"/>
  </sheetViews>
  <sheetFormatPr baseColWidth="10" defaultColWidth="14.3984375" defaultRowHeight="15" customHeight="1" x14ac:dyDescent="0.2"/>
  <cols>
    <col min="1" max="1" width="38.796875" customWidth="1"/>
    <col min="2" max="6" width="14.3984375" customWidth="1"/>
    <col min="12" max="12" width="14.19921875" customWidth="1"/>
    <col min="14" max="14" width="24.19921875" customWidth="1"/>
  </cols>
  <sheetData>
    <row r="1" spans="1:26" ht="15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">
      <c r="A2" s="3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">
      <c r="A3" s="2"/>
      <c r="B3" s="2">
        <v>2023</v>
      </c>
      <c r="C3" s="2">
        <v>2023</v>
      </c>
      <c r="D3" s="2">
        <v>2023</v>
      </c>
      <c r="E3" s="2">
        <v>2023</v>
      </c>
      <c r="F3" s="2">
        <v>2023</v>
      </c>
      <c r="G3" s="2">
        <v>2023</v>
      </c>
      <c r="H3" s="2">
        <v>2023</v>
      </c>
      <c r="I3" s="2">
        <v>2023</v>
      </c>
      <c r="J3" s="2">
        <v>2023</v>
      </c>
      <c r="K3" s="2">
        <v>2023</v>
      </c>
      <c r="L3" s="2">
        <v>2023</v>
      </c>
      <c r="M3" s="2">
        <v>2023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">
      <c r="A4" s="5" t="s">
        <v>0</v>
      </c>
      <c r="B4" s="5" t="s">
        <v>1</v>
      </c>
      <c r="C4" s="5" t="s">
        <v>2</v>
      </c>
      <c r="D4" s="5" t="s">
        <v>3</v>
      </c>
      <c r="E4" s="5" t="s">
        <v>4</v>
      </c>
      <c r="F4" s="5" t="s">
        <v>5</v>
      </c>
      <c r="G4" s="5" t="s">
        <v>6</v>
      </c>
      <c r="H4" s="5" t="s">
        <v>7</v>
      </c>
      <c r="I4" s="5" t="s">
        <v>8</v>
      </c>
      <c r="J4" s="5" t="s">
        <v>9</v>
      </c>
      <c r="K4" s="5" t="s">
        <v>10</v>
      </c>
      <c r="L4" s="5" t="s">
        <v>11</v>
      </c>
      <c r="M4" s="5" t="s">
        <v>12</v>
      </c>
      <c r="N4" s="6" t="s">
        <v>13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">
      <c r="A5" s="2" t="s">
        <v>14</v>
      </c>
      <c r="B5" s="7"/>
      <c r="C5" s="8"/>
      <c r="D5" s="7"/>
      <c r="E5" s="8"/>
      <c r="F5" s="8"/>
      <c r="G5" s="9"/>
      <c r="H5" s="9"/>
      <c r="I5" s="9"/>
      <c r="J5" s="8"/>
      <c r="K5" s="9"/>
      <c r="L5" s="9"/>
      <c r="M5" s="9"/>
      <c r="N5" s="10">
        <f t="shared" ref="N5:N8" si="0">SUM(B5:M5)</f>
        <v>0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">
      <c r="A6" s="2" t="s">
        <v>15</v>
      </c>
      <c r="B6" s="7"/>
      <c r="C6" s="8"/>
      <c r="D6" s="7"/>
      <c r="E6" s="8"/>
      <c r="F6" s="7"/>
      <c r="G6" s="8"/>
      <c r="H6" s="9"/>
      <c r="I6" s="9"/>
      <c r="J6" s="11"/>
      <c r="K6" s="12"/>
      <c r="L6" s="9"/>
      <c r="M6" s="9"/>
      <c r="N6" s="10">
        <f t="shared" si="0"/>
        <v>0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">
      <c r="A7" s="2" t="s">
        <v>16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0">
        <f t="shared" si="0"/>
        <v>0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">
      <c r="A8" s="14" t="s">
        <v>17</v>
      </c>
      <c r="B8" s="15">
        <f t="shared" ref="B8:M8" si="1">B5-B6-B7</f>
        <v>0</v>
      </c>
      <c r="C8" s="15">
        <f t="shared" si="1"/>
        <v>0</v>
      </c>
      <c r="D8" s="15">
        <f t="shared" si="1"/>
        <v>0</v>
      </c>
      <c r="E8" s="15">
        <f t="shared" si="1"/>
        <v>0</v>
      </c>
      <c r="F8" s="15">
        <f t="shared" si="1"/>
        <v>0</v>
      </c>
      <c r="G8" s="15">
        <f t="shared" si="1"/>
        <v>0</v>
      </c>
      <c r="H8" s="15">
        <f t="shared" si="1"/>
        <v>0</v>
      </c>
      <c r="I8" s="15">
        <f t="shared" si="1"/>
        <v>0</v>
      </c>
      <c r="J8" s="15">
        <f t="shared" si="1"/>
        <v>0</v>
      </c>
      <c r="K8" s="15">
        <f t="shared" si="1"/>
        <v>0</v>
      </c>
      <c r="L8" s="15">
        <f t="shared" si="1"/>
        <v>0</v>
      </c>
      <c r="M8" s="15">
        <f t="shared" si="1"/>
        <v>0</v>
      </c>
      <c r="N8" s="15">
        <f t="shared" si="0"/>
        <v>0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">
      <c r="A10" s="2"/>
      <c r="B10" s="2">
        <v>2023</v>
      </c>
      <c r="C10" s="2">
        <v>2023</v>
      </c>
      <c r="D10" s="2">
        <v>2023</v>
      </c>
      <c r="E10" s="2">
        <v>2023</v>
      </c>
      <c r="F10" s="2">
        <v>2023</v>
      </c>
      <c r="G10" s="2">
        <v>2023</v>
      </c>
      <c r="H10" s="2">
        <v>2023</v>
      </c>
      <c r="I10" s="2">
        <v>2023</v>
      </c>
      <c r="J10" s="2">
        <v>2023</v>
      </c>
      <c r="K10" s="2">
        <v>2023</v>
      </c>
      <c r="L10" s="2">
        <v>2023</v>
      </c>
      <c r="M10" s="2">
        <v>2023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">
      <c r="A11" s="5" t="s">
        <v>18</v>
      </c>
      <c r="B11" s="5" t="s">
        <v>1</v>
      </c>
      <c r="C11" s="5" t="s">
        <v>2</v>
      </c>
      <c r="D11" s="5" t="s">
        <v>3</v>
      </c>
      <c r="E11" s="5" t="s">
        <v>4</v>
      </c>
      <c r="F11" s="5" t="s">
        <v>5</v>
      </c>
      <c r="G11" s="5" t="s">
        <v>6</v>
      </c>
      <c r="H11" s="5" t="s">
        <v>7</v>
      </c>
      <c r="I11" s="5" t="s">
        <v>8</v>
      </c>
      <c r="J11" s="5" t="s">
        <v>9</v>
      </c>
      <c r="K11" s="5" t="s">
        <v>10</v>
      </c>
      <c r="L11" s="5" t="s">
        <v>11</v>
      </c>
      <c r="M11" s="5" t="s">
        <v>12</v>
      </c>
      <c r="N11" s="6" t="s">
        <v>13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">
      <c r="A12" s="2" t="s">
        <v>19</v>
      </c>
      <c r="B12" s="16"/>
      <c r="C12" s="16"/>
      <c r="D12" s="16"/>
      <c r="E12" s="16"/>
      <c r="F12" s="16"/>
      <c r="G12" s="16"/>
      <c r="H12" s="8"/>
      <c r="I12" s="16"/>
      <c r="J12" s="16"/>
      <c r="K12" s="17"/>
      <c r="L12" s="7"/>
      <c r="M12" s="7"/>
      <c r="N12" s="18">
        <f t="shared" ref="N12:N13" si="2">SUM(B12:M12)</f>
        <v>0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">
      <c r="A13" s="14" t="s">
        <v>20</v>
      </c>
      <c r="B13" s="19">
        <f t="shared" ref="B13:M13" si="3">B8-B12</f>
        <v>0</v>
      </c>
      <c r="C13" s="19">
        <f t="shared" si="3"/>
        <v>0</v>
      </c>
      <c r="D13" s="19">
        <f t="shared" si="3"/>
        <v>0</v>
      </c>
      <c r="E13" s="19">
        <f t="shared" si="3"/>
        <v>0</v>
      </c>
      <c r="F13" s="19">
        <f t="shared" si="3"/>
        <v>0</v>
      </c>
      <c r="G13" s="19">
        <f t="shared" si="3"/>
        <v>0</v>
      </c>
      <c r="H13" s="19">
        <f t="shared" si="3"/>
        <v>0</v>
      </c>
      <c r="I13" s="19">
        <f t="shared" si="3"/>
        <v>0</v>
      </c>
      <c r="J13" s="19">
        <f t="shared" si="3"/>
        <v>0</v>
      </c>
      <c r="K13" s="19">
        <f t="shared" si="3"/>
        <v>0</v>
      </c>
      <c r="L13" s="19">
        <f t="shared" si="3"/>
        <v>0</v>
      </c>
      <c r="M13" s="19">
        <f t="shared" si="3"/>
        <v>0</v>
      </c>
      <c r="N13" s="20">
        <f t="shared" si="2"/>
        <v>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">
      <c r="A15" s="2"/>
      <c r="B15" s="2">
        <v>2023</v>
      </c>
      <c r="C15" s="2">
        <v>2023</v>
      </c>
      <c r="D15" s="2">
        <v>2023</v>
      </c>
      <c r="E15" s="2">
        <v>2023</v>
      </c>
      <c r="F15" s="2">
        <v>2023</v>
      </c>
      <c r="G15" s="2">
        <v>2023</v>
      </c>
      <c r="H15" s="2">
        <v>2023</v>
      </c>
      <c r="I15" s="2">
        <v>2023</v>
      </c>
      <c r="J15" s="2">
        <v>2023</v>
      </c>
      <c r="K15" s="2">
        <v>2023</v>
      </c>
      <c r="L15" s="2">
        <v>2023</v>
      </c>
      <c r="M15" s="2">
        <v>2023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">
      <c r="A16" s="5" t="s">
        <v>21</v>
      </c>
      <c r="B16" s="5" t="s">
        <v>1</v>
      </c>
      <c r="C16" s="5" t="s">
        <v>2</v>
      </c>
      <c r="D16" s="5" t="s">
        <v>3</v>
      </c>
      <c r="E16" s="5" t="s">
        <v>4</v>
      </c>
      <c r="F16" s="5" t="s">
        <v>5</v>
      </c>
      <c r="G16" s="5" t="s">
        <v>6</v>
      </c>
      <c r="H16" s="5" t="s">
        <v>7</v>
      </c>
      <c r="I16" s="5" t="s">
        <v>8</v>
      </c>
      <c r="J16" s="5" t="s">
        <v>9</v>
      </c>
      <c r="K16" s="5" t="s">
        <v>10</v>
      </c>
      <c r="L16" s="5" t="s">
        <v>11</v>
      </c>
      <c r="M16" s="5" t="s">
        <v>12</v>
      </c>
      <c r="N16" s="6" t="s">
        <v>13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">
      <c r="A17" s="21" t="s">
        <v>22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22">
        <f t="shared" ref="N17:N30" si="4">SUM(B17:M17)</f>
        <v>0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">
      <c r="A18" s="21" t="s">
        <v>23</v>
      </c>
      <c r="B18" s="12"/>
      <c r="C18" s="12"/>
      <c r="D18" s="12"/>
      <c r="E18" s="12"/>
      <c r="F18" s="12"/>
      <c r="G18" s="12"/>
      <c r="H18" s="12"/>
      <c r="I18" s="12"/>
      <c r="J18" s="12"/>
      <c r="K18" s="17"/>
      <c r="L18" s="7"/>
      <c r="M18" s="7"/>
      <c r="N18" s="22">
        <f t="shared" si="4"/>
        <v>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">
      <c r="A19" s="21" t="s">
        <v>24</v>
      </c>
      <c r="B19" s="12"/>
      <c r="C19" s="12"/>
      <c r="D19" s="12"/>
      <c r="E19" s="12"/>
      <c r="F19" s="12"/>
      <c r="G19" s="12"/>
      <c r="H19" s="12"/>
      <c r="I19" s="12"/>
      <c r="J19" s="12"/>
      <c r="K19" s="17"/>
      <c r="L19" s="7"/>
      <c r="M19" s="7"/>
      <c r="N19" s="22">
        <f t="shared" si="4"/>
        <v>0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">
      <c r="A20" s="21" t="s">
        <v>25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22">
        <f t="shared" si="4"/>
        <v>0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">
      <c r="A21" s="21" t="s">
        <v>26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22">
        <f t="shared" si="4"/>
        <v>0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">
      <c r="A22" s="21" t="s">
        <v>27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22">
        <f t="shared" si="4"/>
        <v>0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">
      <c r="A23" s="21" t="s">
        <v>28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23"/>
      <c r="N23" s="22">
        <f t="shared" si="4"/>
        <v>0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">
      <c r="A24" s="21" t="s">
        <v>29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23"/>
      <c r="N24" s="22">
        <f t="shared" si="4"/>
        <v>0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">
      <c r="A25" s="21" t="s">
        <v>31</v>
      </c>
      <c r="B25" s="12"/>
      <c r="C25" s="12"/>
      <c r="D25" s="12"/>
      <c r="E25" s="12"/>
      <c r="F25" s="12"/>
      <c r="G25" s="12"/>
      <c r="H25" s="12"/>
      <c r="I25" s="12"/>
      <c r="J25" s="12"/>
      <c r="K25" s="17"/>
      <c r="L25" s="7"/>
      <c r="M25" s="7"/>
      <c r="N25" s="22">
        <f t="shared" si="4"/>
        <v>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">
      <c r="A26" s="24" t="s">
        <v>30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22">
        <f t="shared" si="4"/>
        <v>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">
      <c r="A27" s="21" t="s">
        <v>32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22">
        <f t="shared" si="4"/>
        <v>0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">
      <c r="A28" s="21" t="s">
        <v>33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22">
        <f t="shared" si="4"/>
        <v>0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5" t="s">
        <v>34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22">
        <f t="shared" si="4"/>
        <v>0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14" t="s">
        <v>35</v>
      </c>
      <c r="B30" s="26">
        <f t="shared" ref="B30:M30" si="5">SUM(B17:B29)</f>
        <v>0</v>
      </c>
      <c r="C30" s="26">
        <f t="shared" si="5"/>
        <v>0</v>
      </c>
      <c r="D30" s="26">
        <f t="shared" si="5"/>
        <v>0</v>
      </c>
      <c r="E30" s="26">
        <f t="shared" si="5"/>
        <v>0</v>
      </c>
      <c r="F30" s="26">
        <f t="shared" si="5"/>
        <v>0</v>
      </c>
      <c r="G30" s="26">
        <f t="shared" si="5"/>
        <v>0</v>
      </c>
      <c r="H30" s="26">
        <f t="shared" si="5"/>
        <v>0</v>
      </c>
      <c r="I30" s="26">
        <f t="shared" si="5"/>
        <v>0</v>
      </c>
      <c r="J30" s="26">
        <f t="shared" si="5"/>
        <v>0</v>
      </c>
      <c r="K30" s="26">
        <f t="shared" si="5"/>
        <v>0</v>
      </c>
      <c r="L30" s="26">
        <f t="shared" si="5"/>
        <v>0</v>
      </c>
      <c r="M30" s="26">
        <f t="shared" si="5"/>
        <v>0</v>
      </c>
      <c r="N30" s="26">
        <f t="shared" si="4"/>
        <v>0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7"/>
      <c r="F31" s="27"/>
      <c r="G31" s="27"/>
      <c r="H31" s="27"/>
      <c r="I31" s="27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5" t="s">
        <v>36</v>
      </c>
      <c r="B32" s="5" t="s">
        <v>1</v>
      </c>
      <c r="C32" s="5" t="s">
        <v>2</v>
      </c>
      <c r="D32" s="5" t="s">
        <v>3</v>
      </c>
      <c r="E32" s="5" t="s">
        <v>4</v>
      </c>
      <c r="F32" s="5" t="s">
        <v>5</v>
      </c>
      <c r="G32" s="5" t="s">
        <v>6</v>
      </c>
      <c r="H32" s="5" t="s">
        <v>7</v>
      </c>
      <c r="I32" s="5" t="s">
        <v>8</v>
      </c>
      <c r="J32" s="5" t="s">
        <v>9</v>
      </c>
      <c r="K32" s="5" t="s">
        <v>10</v>
      </c>
      <c r="L32" s="5" t="s">
        <v>11</v>
      </c>
      <c r="M32" s="5" t="s">
        <v>12</v>
      </c>
      <c r="N32" s="6" t="s">
        <v>37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14" t="s">
        <v>38</v>
      </c>
      <c r="B33" s="28" t="e">
        <f t="shared" ref="B33:M33" ca="1" si="6">MINUS(B13,B30)</f>
        <v>#NAME?</v>
      </c>
      <c r="C33" s="28" t="e">
        <f t="shared" ca="1" si="6"/>
        <v>#NAME?</v>
      </c>
      <c r="D33" s="28" t="e">
        <f t="shared" ca="1" si="6"/>
        <v>#NAME?</v>
      </c>
      <c r="E33" s="28" t="e">
        <f t="shared" ca="1" si="6"/>
        <v>#NAME?</v>
      </c>
      <c r="F33" s="28" t="e">
        <f t="shared" ca="1" si="6"/>
        <v>#NAME?</v>
      </c>
      <c r="G33" s="28" t="e">
        <f t="shared" ca="1" si="6"/>
        <v>#NAME?</v>
      </c>
      <c r="H33" s="28" t="e">
        <f t="shared" ca="1" si="6"/>
        <v>#NAME?</v>
      </c>
      <c r="I33" s="28" t="e">
        <f t="shared" ca="1" si="6"/>
        <v>#NAME?</v>
      </c>
      <c r="J33" s="28" t="e">
        <f t="shared" ca="1" si="6"/>
        <v>#NAME?</v>
      </c>
      <c r="K33" s="28" t="e">
        <f t="shared" ca="1" si="6"/>
        <v>#NAME?</v>
      </c>
      <c r="L33" s="28" t="e">
        <f t="shared" ca="1" si="6"/>
        <v>#NAME?</v>
      </c>
      <c r="M33" s="28" t="e">
        <f t="shared" ca="1" si="6"/>
        <v>#NAME?</v>
      </c>
      <c r="N33" s="28" t="e">
        <f ca="1">SUM(B33:M33)</f>
        <v>#NAME?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9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36" t="s">
        <v>39</v>
      </c>
      <c r="B36" s="37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 t="s">
        <v>24</v>
      </c>
      <c r="B37" s="30">
        <f>SUM(N19)</f>
        <v>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 t="s">
        <v>40</v>
      </c>
      <c r="B38" s="30">
        <f>SUM(N18)</f>
        <v>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 t="s">
        <v>41</v>
      </c>
      <c r="B39" s="30">
        <f>SUM(N17)</f>
        <v>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 t="s">
        <v>25</v>
      </c>
      <c r="B40" s="30">
        <f>SUM(N20)</f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 t="s">
        <v>26</v>
      </c>
      <c r="B41" s="30">
        <f>SUM(N21)</f>
        <v>0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30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7"/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7"/>
      <c r="B48" s="3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33"/>
      <c r="B50" s="3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7"/>
      <c r="B51" s="3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</sheetData>
  <mergeCells count="1">
    <mergeCell ref="A36:B36"/>
  </mergeCells>
  <printOptions horizontalCentered="1" gridLines="1"/>
  <pageMargins left="0.7" right="0.7" top="0.75" bottom="0.75" header="0" footer="0"/>
  <pageSetup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Nhi Nguyen</cp:lastModifiedBy>
  <dcterms:modified xsi:type="dcterms:W3CDTF">2026-04-03T00:35:01Z</dcterms:modified>
</cp:coreProperties>
</file>