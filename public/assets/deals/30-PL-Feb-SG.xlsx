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 TOTAL" sheetId="1" r:id="rId4"/>
  </sheets>
  <definedNames/>
  <calcPr/>
  <extLst>
    <ext uri="GoogleSheetsCustomDataVersion2">
      <go:sheetsCustomData xmlns:go="http://customooxmlschemas.google.com/" r:id="rId5" roundtripDataChecksum="CpaWU5onv6wSy1aiVtZn/dPPZnvgfwNiI1ZqkRMSTDI="/>
    </ext>
  </extLst>
</workbook>
</file>

<file path=xl/sharedStrings.xml><?xml version="1.0" encoding="utf-8"?>
<sst xmlns="http://schemas.openxmlformats.org/spreadsheetml/2006/main" count="86" uniqueCount="32">
  <si>
    <t>Income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</si>
  <si>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</si>
  <si>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</si>
  <si>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</si>
  <si>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</si>
  <si>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</si>
  <si>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</si>
  <si>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</si>
  <si>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</si>
  <si>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</si>
  <si>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</si>
  <si>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</si>
  <si>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</si>
  <si>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Jenuary</t>
  </si>
  <si>
    <t>Total</t>
  </si>
  <si>
    <t>Sales</t>
  </si>
  <si>
    <t>Expenses</t>
  </si>
  <si>
    <t xml:space="preserve">Advertising (META) </t>
  </si>
  <si>
    <t>Advertising (Google &amp; TikTok)</t>
  </si>
  <si>
    <t xml:space="preserve">Processing Fees (4%) </t>
  </si>
  <si>
    <t xml:space="preserve">Hosting &amp; Apps (Shopify, Funnelish, Klavyo, Ai App) </t>
  </si>
  <si>
    <t>Content Creation</t>
  </si>
  <si>
    <t>VA / Team / AI DELIVERY software / Editor</t>
  </si>
  <si>
    <t xml:space="preserve">Refound </t>
  </si>
  <si>
    <t>Total Expenses</t>
  </si>
  <si>
    <t>Net Profit</t>
  </si>
  <si>
    <t>Net profit %</t>
  </si>
  <si>
    <t>Average TTM</t>
  </si>
  <si>
    <t>last 12 month profit</t>
  </si>
  <si>
    <t>*February 2026:</t>
  </si>
  <si>
    <t>The TikTok expenditure is entirely dedicated to testing a subscription plan, which has lowered the net amount for the month, but the rebill will be in the coming weeks. ;)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</si>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</sst>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7">
    <font>
      <sz val="10.0"/>
      <color rgb="FF000000"/>
      <name val="Arial"/>
      <scheme val="minor"/>
    </font>
    <font>
      <color theme="1"/>
      <name val="Arial"/>
    </font>
    <font>
      <sz val="8.0"/>
      <color rgb="FF000000"/>
      <name val="Arial"/>
    </font>
    <font>
      <color theme="1"/>
      <name val="Arial"/>
      <scheme val="minor"/>
    </font>
    <font>
      <b/>
      <sz val="8.0"/>
      <color rgb="FF000000"/>
      <name val="Arial"/>
    </font>
    <font>
      <b/>
      <color theme="1"/>
      <name val="Arial"/>
    </font>
    <font>
      <b/>
      <sz val="8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5DBF0"/>
        <bgColor rgb="FFC5DBF0"/>
      </patternFill>
    </fill>
    <fill>
      <patternFill patternType="solid">
        <fgColor rgb="FFCFE2F3"/>
        <bgColor rgb="FFCFE2F3"/>
      </patternFill>
    </fill>
    <fill>
      <patternFill patternType="solid">
        <fgColor rgb="FFD0D0D0"/>
        <bgColor rgb="FFD0D0D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readingOrder="0" vertical="center"/>
    </xf>
    <xf borderId="1" fillId="5" fontId="4" numFmtId="164" xfId="0" applyAlignment="1" applyBorder="1" applyFill="1" applyFont="1" applyNumberForma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1" fillId="5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7" fontId="4" numFmtId="164" xfId="0" applyAlignment="1" applyBorder="1" applyFont="1" applyNumberFormat="1">
      <alignment horizontal="center" vertical="center"/>
    </xf>
    <xf borderId="0" fillId="2" fontId="3" numFmtId="0" xfId="0" applyAlignment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1" fillId="8" fontId="6" numFmtId="10" xfId="0" applyAlignment="1" applyBorder="1" applyFont="1" applyNumberFormat="1">
      <alignment horizontal="center" vertical="center"/>
    </xf>
    <xf borderId="0" fillId="2" fontId="1" numFmtId="0" xfId="0" applyAlignment="1" applyFont="1">
      <alignment vertical="center"/>
    </xf>
    <xf borderId="0" fillId="2" fontId="1" numFmtId="9" xfId="0" applyAlignment="1" applyFont="1" applyNumberFormat="1">
      <alignment readingOrder="0" vertical="center"/>
    </xf>
    <xf borderId="0" fillId="2" fontId="1" numFmtId="0" xfId="0" applyAlignment="1" applyFont="1">
      <alignment readingOrder="0" vertical="center"/>
    </xf>
    <xf borderId="1" fillId="7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1" fillId="2" fontId="4" numFmtId="164" xfId="0" applyAlignment="1" applyBorder="1" applyFont="1" applyNumberFormat="1">
      <alignment horizontal="center" vertical="center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Gross Profit rispetto a Income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'PL TOTAL'!$A$12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'PL TOTAL'!$B$2:$AF$2</c:f>
            </c:strRef>
          </c:cat>
          <c:val>
            <c:numRef>
              <c:f>'PL TOTAL'!$B$12:$AF$12</c:f>
              <c:numCache/>
            </c:numRef>
          </c:val>
        </c:ser>
        <c:ser>
          <c:idx val="1"/>
          <c:order val="1"/>
          <c:tx>
            <c:strRef>
              <c:f>'PL TOTAL'!$A$14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'PL TOTAL'!$B$2:$AF$2</c:f>
            </c:strRef>
          </c:cat>
          <c:val>
            <c:numRef>
              <c:f>'PL TOTAL'!$B$14:$AF$14</c:f>
              <c:numCache/>
            </c:numRef>
          </c:val>
        </c:ser>
        <c:axId val="257225524"/>
        <c:axId val="1072272155"/>
      </c:areaChart>
      <c:catAx>
        <c:axId val="257225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72272155"/>
      </c:catAx>
      <c:valAx>
        <c:axId val="1072272155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Gross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2572255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266700</xdr:colOff>
      <xdr:row>1</xdr:row>
      <xdr:rowOff>28575</xdr:rowOff>
    </xdr:from>
    <xdr:ext cx="8934450" cy="3390900"/>
    <xdr:graphicFrame>
      <xdr:nvGraphicFramePr>
        <xdr:cNvPr id="1686662520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5.13"/>
    <col customWidth="1" min="2" max="6" width="12.63"/>
    <col customWidth="1" min="35" max="35" width="13.63"/>
    <col customWidth="1" min="36" max="36" width="14.75"/>
    <col customWidth="1" min="37" max="40" width="28.13"/>
  </cols>
  <sheetData>
    <row r="1" ht="23.25" customHeight="1">
      <c r="A1" s="1"/>
      <c r="B1" s="2">
        <v>2023.0</v>
      </c>
      <c r="C1" s="2">
        <v>2023.0</v>
      </c>
      <c r="D1" s="2">
        <v>2023.0</v>
      </c>
      <c r="E1" s="2">
        <v>2023.0</v>
      </c>
      <c r="F1" s="2">
        <v>2023.0</v>
      </c>
      <c r="G1" s="2">
        <v>2023.0</v>
      </c>
      <c r="H1" s="2">
        <v>2023.0</v>
      </c>
      <c r="I1" s="2">
        <v>2024.0</v>
      </c>
      <c r="J1" s="3">
        <v>2024.0</v>
      </c>
      <c r="K1" s="3">
        <v>2024.0</v>
      </c>
      <c r="L1" s="3">
        <v>2024.0</v>
      </c>
      <c r="M1" s="3">
        <v>2024.0</v>
      </c>
      <c r="N1" s="3">
        <v>2024.0</v>
      </c>
      <c r="O1" s="3">
        <v>2024.0</v>
      </c>
      <c r="P1" s="3">
        <v>2024.0</v>
      </c>
      <c r="Q1" s="3">
        <v>2024.0</v>
      </c>
      <c r="R1" s="3">
        <v>2024.0</v>
      </c>
      <c r="S1" s="3">
        <v>2024.0</v>
      </c>
      <c r="T1" s="3">
        <v>2024.0</v>
      </c>
      <c r="U1" s="3">
        <v>2025.0</v>
      </c>
      <c r="V1" s="3">
        <v>2025.0</v>
      </c>
      <c r="W1" s="3">
        <v>2025.0</v>
      </c>
      <c r="X1" s="4">
        <v>2025.0</v>
      </c>
      <c r="Y1" s="4">
        <v>2025.0</v>
      </c>
      <c r="Z1" s="4">
        <v>2025.0</v>
      </c>
      <c r="AA1" s="4">
        <v>2025.0</v>
      </c>
      <c r="AB1" s="4">
        <v>2025.0</v>
      </c>
      <c r="AC1" s="4">
        <v>2025.0</v>
      </c>
      <c r="AD1" s="4">
        <v>2025.0</v>
      </c>
      <c r="AE1" s="4">
        <v>2025.0</v>
      </c>
      <c r="AF1" s="4">
        <v>2025.0</v>
      </c>
      <c r="AG1" s="4">
        <v>2026.0</v>
      </c>
      <c r="AH1" s="4">
        <v>2026.0</v>
      </c>
      <c r="AI1" s="1"/>
      <c r="AJ1" s="5"/>
      <c r="AK1" s="5"/>
      <c r="AL1" s="5"/>
      <c r="AM1" s="5"/>
      <c r="AN1" s="5"/>
    </row>
    <row r="2" ht="23.25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6" t="s">
        <v>1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13</v>
      </c>
      <c r="V2" s="6" t="s">
        <v>9</v>
      </c>
      <c r="W2" s="8" t="s">
        <v>10</v>
      </c>
      <c r="X2" s="8" t="s">
        <v>11</v>
      </c>
      <c r="Y2" s="8" t="s">
        <v>12</v>
      </c>
      <c r="Z2" s="8" t="s">
        <v>1</v>
      </c>
      <c r="AA2" s="8" t="s">
        <v>2</v>
      </c>
      <c r="AB2" s="8" t="s">
        <v>3</v>
      </c>
      <c r="AC2" s="8" t="s">
        <v>4</v>
      </c>
      <c r="AD2" s="8" t="s">
        <v>5</v>
      </c>
      <c r="AE2" s="8" t="s">
        <v>6</v>
      </c>
      <c r="AF2" s="8" t="s">
        <v>7</v>
      </c>
      <c r="AG2" s="6" t="s">
        <v>13</v>
      </c>
      <c r="AH2" s="6" t="s">
        <v>9</v>
      </c>
      <c r="AI2" s="6" t="s">
        <v>14</v>
      </c>
      <c r="AJ2" s="5"/>
      <c r="AK2" s="5"/>
      <c r="AL2" s="5"/>
      <c r="AM2" s="5"/>
      <c r="AN2" s="5"/>
    </row>
    <row r="3" ht="23.25" customHeight="1">
      <c r="A3" s="9" t="s">
        <v>15</v>
      </c>
      <c r="B3" s="10">
        <f>10632+0 </f>
        <v>10632</v>
      </c>
      <c r="C3" s="10">
        <f>113764+5871</f>
        <v>119635</v>
      </c>
      <c r="D3" s="10">
        <f>62589+23180</f>
        <v>85769</v>
      </c>
      <c r="E3" s="10">
        <f>39544+29934</f>
        <v>69478</v>
      </c>
      <c r="F3" s="10">
        <f>27404+2587</f>
        <v>29991</v>
      </c>
      <c r="G3" s="10">
        <f>24237+2060</f>
        <v>26297</v>
      </c>
      <c r="H3" s="10">
        <f>57914+687</f>
        <v>58601</v>
      </c>
      <c r="I3" s="11">
        <f>67878+384</f>
        <v>68262</v>
      </c>
      <c r="J3" s="10">
        <v>61873.0</v>
      </c>
      <c r="K3" s="10">
        <v>91544.0</v>
      </c>
      <c r="L3" s="10">
        <v>94745.0</v>
      </c>
      <c r="M3" s="10">
        <v>159935.0</v>
      </c>
      <c r="N3" s="10">
        <v>71383.38</v>
      </c>
      <c r="O3" s="10">
        <v>123937.56</v>
      </c>
      <c r="P3" s="10">
        <v>117142.92</v>
      </c>
      <c r="Q3" s="10">
        <v>70740.02</v>
      </c>
      <c r="R3" s="10">
        <v>44280.55</v>
      </c>
      <c r="S3" s="10">
        <v>41066.29</v>
      </c>
      <c r="T3" s="10">
        <v>37364.19</v>
      </c>
      <c r="U3" s="10">
        <v>51972.0</v>
      </c>
      <c r="V3" s="10">
        <v>99078.0</v>
      </c>
      <c r="W3" s="12">
        <v>310346.02</v>
      </c>
      <c r="X3" s="12">
        <v>270708.16</v>
      </c>
      <c r="Y3" s="12">
        <v>175608.0</v>
      </c>
      <c r="Z3" s="12">
        <v>105713.0</v>
      </c>
      <c r="AA3" s="12">
        <v>105944.04</v>
      </c>
      <c r="AB3" s="12">
        <v>126014.0</v>
      </c>
      <c r="AC3" s="12">
        <v>131952.0</v>
      </c>
      <c r="AD3" s="12">
        <v>124663.0</v>
      </c>
      <c r="AE3" s="12">
        <v>129314.0</v>
      </c>
      <c r="AF3" s="12">
        <v>191272.0</v>
      </c>
      <c r="AG3" s="12">
        <v>153940.0</v>
      </c>
      <c r="AH3" s="12">
        <v>108000.0</v>
      </c>
      <c r="AI3" s="13">
        <f>SUM(B3:AF3)</f>
        <v>3205261.13</v>
      </c>
      <c r="AJ3" s="5"/>
      <c r="AK3" s="5"/>
      <c r="AL3" s="5"/>
      <c r="AM3" s="5"/>
      <c r="AN3" s="5"/>
    </row>
    <row r="4" ht="23.25" customHeight="1">
      <c r="A4" s="6" t="s">
        <v>16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14" t="s">
        <v>9</v>
      </c>
      <c r="K4" s="14" t="s">
        <v>10</v>
      </c>
      <c r="L4" s="7" t="s">
        <v>11</v>
      </c>
      <c r="M4" s="7" t="s">
        <v>12</v>
      </c>
      <c r="N4" s="6" t="s">
        <v>1</v>
      </c>
      <c r="O4" s="6" t="s">
        <v>2</v>
      </c>
      <c r="P4" s="6" t="s">
        <v>3</v>
      </c>
      <c r="Q4" s="6" t="s">
        <v>4</v>
      </c>
      <c r="R4" s="6" t="s">
        <v>5</v>
      </c>
      <c r="S4" s="6" t="s">
        <v>6</v>
      </c>
      <c r="T4" s="6" t="s">
        <v>7</v>
      </c>
      <c r="U4" s="6" t="s">
        <v>13</v>
      </c>
      <c r="V4" s="6" t="s">
        <v>9</v>
      </c>
      <c r="W4" s="8" t="s">
        <v>10</v>
      </c>
      <c r="X4" s="8" t="s">
        <v>11</v>
      </c>
      <c r="Y4" s="8" t="s">
        <v>12</v>
      </c>
      <c r="Z4" s="8" t="s">
        <v>1</v>
      </c>
      <c r="AA4" s="8" t="s">
        <v>2</v>
      </c>
      <c r="AB4" s="8" t="s">
        <v>3</v>
      </c>
      <c r="AC4" s="8" t="s">
        <v>4</v>
      </c>
      <c r="AD4" s="8" t="s">
        <v>5</v>
      </c>
      <c r="AE4" s="8" t="s">
        <v>6</v>
      </c>
      <c r="AF4" s="8" t="s">
        <v>7</v>
      </c>
      <c r="AG4" s="6" t="s">
        <v>13</v>
      </c>
      <c r="AH4" s="6" t="s">
        <v>9</v>
      </c>
      <c r="AI4" s="14" t="s">
        <v>14</v>
      </c>
      <c r="AJ4" s="5"/>
      <c r="AK4" s="5"/>
      <c r="AL4" s="5"/>
      <c r="AM4" s="5"/>
      <c r="AN4" s="5"/>
    </row>
    <row r="5" ht="23.25" customHeight="1">
      <c r="A5" s="15" t="s">
        <v>17</v>
      </c>
      <c r="B5" s="11">
        <f>2025+0</f>
        <v>2025</v>
      </c>
      <c r="C5" s="11">
        <f>45116+18918+2347</f>
        <v>66381</v>
      </c>
      <c r="D5" s="11">
        <f>38094+12524+15887</f>
        <v>66505</v>
      </c>
      <c r="E5" s="11">
        <f>35661+175+22290</f>
        <v>58126</v>
      </c>
      <c r="F5" s="11">
        <f>14952+3960</f>
        <v>18912</v>
      </c>
      <c r="G5" s="11">
        <f>19068+3960</f>
        <v>23028</v>
      </c>
      <c r="H5" s="11">
        <f>28169</f>
        <v>28169</v>
      </c>
      <c r="I5" s="11">
        <v>33148.0</v>
      </c>
      <c r="J5" s="10">
        <v>35736.0</v>
      </c>
      <c r="K5" s="10">
        <v>59981.2</v>
      </c>
      <c r="L5" s="10">
        <v>55375.8</v>
      </c>
      <c r="M5" s="10">
        <v>98974.0</v>
      </c>
      <c r="N5" s="10">
        <v>43508.8</v>
      </c>
      <c r="O5" s="10">
        <v>84050.8</v>
      </c>
      <c r="P5" s="10">
        <v>80400.85</v>
      </c>
      <c r="Q5" s="10">
        <v>53922.25</v>
      </c>
      <c r="R5" s="10">
        <v>37399.95</v>
      </c>
      <c r="S5" s="10">
        <v>26884.1</v>
      </c>
      <c r="T5" s="10">
        <v>25252.7</v>
      </c>
      <c r="U5" s="10">
        <v>36020.0</v>
      </c>
      <c r="V5" s="10">
        <v>71581.0</v>
      </c>
      <c r="W5" s="12">
        <v>229789.03</v>
      </c>
      <c r="X5" s="12">
        <v>201171.0</v>
      </c>
      <c r="Y5" s="12">
        <v>131056.59</v>
      </c>
      <c r="Z5" s="12">
        <v>84625.67</v>
      </c>
      <c r="AA5" s="12">
        <v>75209.62</v>
      </c>
      <c r="AB5" s="12">
        <v>87541.8</v>
      </c>
      <c r="AC5" s="12">
        <v>90623.0</v>
      </c>
      <c r="AD5" s="12">
        <v>89666.0</v>
      </c>
      <c r="AE5" s="12">
        <v>85306.0</v>
      </c>
      <c r="AF5" s="12">
        <v>110523.0</v>
      </c>
      <c r="AG5" s="12">
        <v>93781.0</v>
      </c>
      <c r="AH5" s="12">
        <v>66356.0</v>
      </c>
      <c r="AI5" s="13">
        <f t="shared" ref="AI5:AI11" si="1">SUM(B5:AF5)</f>
        <v>2190893.16</v>
      </c>
      <c r="AJ5" s="5"/>
      <c r="AK5" s="5"/>
      <c r="AL5" s="5"/>
      <c r="AM5" s="5"/>
      <c r="AN5" s="5"/>
    </row>
    <row r="6" ht="23.25" customHeight="1">
      <c r="A6" s="15" t="s">
        <v>18</v>
      </c>
      <c r="B6" s="12">
        <v>0.0</v>
      </c>
      <c r="C6" s="12">
        <v>0.0</v>
      </c>
      <c r="D6" s="12">
        <v>0.0</v>
      </c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12">
        <v>0.0</v>
      </c>
      <c r="AA6" s="12">
        <v>3119.0</v>
      </c>
      <c r="AB6" s="12">
        <v>2152.0</v>
      </c>
      <c r="AC6" s="12">
        <v>9169.0</v>
      </c>
      <c r="AD6" s="12">
        <v>3857.0</v>
      </c>
      <c r="AE6" s="12">
        <v>413.0</v>
      </c>
      <c r="AF6" s="12">
        <v>0.0</v>
      </c>
      <c r="AG6" s="12">
        <f>A561 + 5111</f>
        <v>5111</v>
      </c>
      <c r="AH6" s="12">
        <v>9538.0</v>
      </c>
      <c r="AI6" s="13">
        <f t="shared" si="1"/>
        <v>18710</v>
      </c>
      <c r="AJ6" s="5"/>
      <c r="AK6" s="5"/>
      <c r="AL6" s="5"/>
      <c r="AM6" s="5"/>
      <c r="AN6" s="5"/>
    </row>
    <row r="7" ht="23.25" customHeight="1">
      <c r="A7" s="15" t="s">
        <v>19</v>
      </c>
      <c r="B7" s="10">
        <f t="shared" ref="B7:AH7" si="2">4/100*B3</f>
        <v>425.28</v>
      </c>
      <c r="C7" s="10">
        <f t="shared" si="2"/>
        <v>4785.4</v>
      </c>
      <c r="D7" s="10">
        <f t="shared" si="2"/>
        <v>3430.76</v>
      </c>
      <c r="E7" s="10">
        <f t="shared" si="2"/>
        <v>2779.12</v>
      </c>
      <c r="F7" s="10">
        <f t="shared" si="2"/>
        <v>1199.64</v>
      </c>
      <c r="G7" s="10">
        <f t="shared" si="2"/>
        <v>1051.88</v>
      </c>
      <c r="H7" s="10">
        <f t="shared" si="2"/>
        <v>2344.04</v>
      </c>
      <c r="I7" s="10">
        <f t="shared" si="2"/>
        <v>2730.48</v>
      </c>
      <c r="J7" s="10">
        <f t="shared" si="2"/>
        <v>2474.92</v>
      </c>
      <c r="K7" s="10">
        <f t="shared" si="2"/>
        <v>3661.76</v>
      </c>
      <c r="L7" s="10">
        <f t="shared" si="2"/>
        <v>3789.8</v>
      </c>
      <c r="M7" s="10">
        <f t="shared" si="2"/>
        <v>6397.4</v>
      </c>
      <c r="N7" s="10">
        <f t="shared" si="2"/>
        <v>2855.3352</v>
      </c>
      <c r="O7" s="10">
        <f t="shared" si="2"/>
        <v>4957.5024</v>
      </c>
      <c r="P7" s="10">
        <f t="shared" si="2"/>
        <v>4685.7168</v>
      </c>
      <c r="Q7" s="10">
        <f t="shared" si="2"/>
        <v>2829.6008</v>
      </c>
      <c r="R7" s="10">
        <f t="shared" si="2"/>
        <v>1771.222</v>
      </c>
      <c r="S7" s="10">
        <f t="shared" si="2"/>
        <v>1642.6516</v>
      </c>
      <c r="T7" s="10">
        <f t="shared" si="2"/>
        <v>1494.5676</v>
      </c>
      <c r="U7" s="10">
        <f t="shared" si="2"/>
        <v>2078.88</v>
      </c>
      <c r="V7" s="10">
        <f t="shared" si="2"/>
        <v>3963.12</v>
      </c>
      <c r="W7" s="10">
        <f t="shared" si="2"/>
        <v>12413.8408</v>
      </c>
      <c r="X7" s="10">
        <f t="shared" si="2"/>
        <v>10828.3264</v>
      </c>
      <c r="Y7" s="10">
        <f t="shared" si="2"/>
        <v>7024.32</v>
      </c>
      <c r="Z7" s="10">
        <f t="shared" si="2"/>
        <v>4228.52</v>
      </c>
      <c r="AA7" s="10">
        <f t="shared" si="2"/>
        <v>4237.7616</v>
      </c>
      <c r="AB7" s="10">
        <f t="shared" si="2"/>
        <v>5040.56</v>
      </c>
      <c r="AC7" s="10">
        <f t="shared" si="2"/>
        <v>5278.08</v>
      </c>
      <c r="AD7" s="10">
        <f t="shared" si="2"/>
        <v>4986.52</v>
      </c>
      <c r="AE7" s="10">
        <f t="shared" si="2"/>
        <v>5172.56</v>
      </c>
      <c r="AF7" s="10">
        <f t="shared" si="2"/>
        <v>7650.88</v>
      </c>
      <c r="AG7" s="10">
        <f t="shared" si="2"/>
        <v>6157.6</v>
      </c>
      <c r="AH7" s="10">
        <f t="shared" si="2"/>
        <v>4320</v>
      </c>
      <c r="AI7" s="13">
        <f t="shared" si="1"/>
        <v>128210.4452</v>
      </c>
      <c r="AJ7" s="5"/>
      <c r="AK7" s="5"/>
      <c r="AL7" s="5"/>
      <c r="AM7" s="5"/>
      <c r="AN7" s="5"/>
    </row>
    <row r="8" ht="23.25" customHeight="1">
      <c r="A8" s="9" t="s">
        <v>20</v>
      </c>
      <c r="B8" s="11">
        <v>239.0</v>
      </c>
      <c r="C8" s="11">
        <v>289.0</v>
      </c>
      <c r="D8" s="11">
        <v>289.0</v>
      </c>
      <c r="E8" s="11">
        <v>289.0</v>
      </c>
      <c r="F8" s="11">
        <v>289.0</v>
      </c>
      <c r="G8" s="11">
        <v>289.0</v>
      </c>
      <c r="H8" s="11">
        <v>289.0</v>
      </c>
      <c r="I8" s="11">
        <v>289.0</v>
      </c>
      <c r="J8" s="10">
        <v>289.0</v>
      </c>
      <c r="K8" s="10">
        <v>289.0</v>
      </c>
      <c r="L8" s="10">
        <v>289.0</v>
      </c>
      <c r="M8" s="10">
        <v>289.0</v>
      </c>
      <c r="N8" s="10">
        <v>289.0</v>
      </c>
      <c r="O8" s="10">
        <v>289.0</v>
      </c>
      <c r="P8" s="10">
        <v>489.0</v>
      </c>
      <c r="Q8" s="10">
        <v>489.0</v>
      </c>
      <c r="R8" s="10">
        <v>489.0</v>
      </c>
      <c r="S8" s="10">
        <v>489.0</v>
      </c>
      <c r="T8" s="10">
        <v>489.0</v>
      </c>
      <c r="U8" s="10">
        <v>790.0</v>
      </c>
      <c r="V8" s="10">
        <v>790.0</v>
      </c>
      <c r="W8" s="12">
        <v>790.0</v>
      </c>
      <c r="X8" s="12">
        <v>790.0</v>
      </c>
      <c r="Y8" s="12">
        <v>790.0</v>
      </c>
      <c r="Z8" s="12">
        <v>790.0</v>
      </c>
      <c r="AA8" s="12">
        <v>1849.0</v>
      </c>
      <c r="AB8" s="12">
        <v>1874.0</v>
      </c>
      <c r="AC8" s="12">
        <v>2362.0</v>
      </c>
      <c r="AD8" s="12">
        <v>2652.0</v>
      </c>
      <c r="AE8" s="12">
        <v>2071.0</v>
      </c>
      <c r="AF8" s="12">
        <v>2450.0</v>
      </c>
      <c r="AG8" s="12">
        <v>3180.0</v>
      </c>
      <c r="AH8" s="12">
        <v>3148.0</v>
      </c>
      <c r="AI8" s="13">
        <f t="shared" si="1"/>
        <v>24439</v>
      </c>
      <c r="AJ8" s="5"/>
      <c r="AK8" s="5"/>
      <c r="AL8" s="5"/>
      <c r="AM8" s="5"/>
      <c r="AN8" s="5"/>
    </row>
    <row r="9" ht="23.25" customHeight="1">
      <c r="A9" s="9" t="s">
        <v>21</v>
      </c>
      <c r="B9" s="10">
        <v>0.0</v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0.0</v>
      </c>
      <c r="T9" s="10">
        <v>0.0</v>
      </c>
      <c r="U9" s="10">
        <v>150.0</v>
      </c>
      <c r="V9" s="10">
        <v>200.0</v>
      </c>
      <c r="W9" s="12">
        <v>0.0</v>
      </c>
      <c r="X9" s="12">
        <v>0.0</v>
      </c>
      <c r="Y9" s="12">
        <v>0.0</v>
      </c>
      <c r="Z9" s="12">
        <v>0.0</v>
      </c>
      <c r="AA9" s="12">
        <v>0.0</v>
      </c>
      <c r="AB9" s="12">
        <v>0.0</v>
      </c>
      <c r="AC9" s="12">
        <v>0.0</v>
      </c>
      <c r="AD9" s="12">
        <v>0.0</v>
      </c>
      <c r="AE9" s="12">
        <v>0.0</v>
      </c>
      <c r="AF9" s="12">
        <v>0.0</v>
      </c>
      <c r="AG9" s="12">
        <v>0.0</v>
      </c>
      <c r="AH9" s="12">
        <v>0.0</v>
      </c>
      <c r="AI9" s="13">
        <f t="shared" si="1"/>
        <v>350</v>
      </c>
      <c r="AJ9" s="5"/>
      <c r="AK9" s="5"/>
      <c r="AL9" s="5"/>
      <c r="AM9" s="5"/>
      <c r="AN9" s="5"/>
    </row>
    <row r="10" ht="23.25" customHeight="1">
      <c r="A10" s="15" t="s">
        <v>22</v>
      </c>
      <c r="B10" s="10">
        <v>0.0</v>
      </c>
      <c r="C10" s="10">
        <v>0.0</v>
      </c>
      <c r="D10" s="10">
        <v>0.0</v>
      </c>
      <c r="E10" s="10">
        <v>0.0</v>
      </c>
      <c r="F10" s="10">
        <v>0.0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0.0</v>
      </c>
      <c r="S10" s="10">
        <v>0.0</v>
      </c>
      <c r="T10" s="10">
        <v>0.0</v>
      </c>
      <c r="U10" s="10">
        <v>280.0</v>
      </c>
      <c r="V10" s="10">
        <v>280.0</v>
      </c>
      <c r="W10" s="12">
        <v>3280.0</v>
      </c>
      <c r="X10" s="12">
        <v>3121.9</v>
      </c>
      <c r="Y10" s="12">
        <v>3121.9</v>
      </c>
      <c r="Z10" s="12">
        <v>3121.9</v>
      </c>
      <c r="AA10" s="12">
        <v>5685.0</v>
      </c>
      <c r="AB10" s="12">
        <v>3098.0</v>
      </c>
      <c r="AC10" s="12">
        <v>4697.0</v>
      </c>
      <c r="AD10" s="12">
        <v>3977.0</v>
      </c>
      <c r="AE10" s="12">
        <v>3400.0</v>
      </c>
      <c r="AF10" s="12">
        <v>4200.0</v>
      </c>
      <c r="AG10" s="12">
        <v>3737.0</v>
      </c>
      <c r="AH10" s="12">
        <v>4174.0</v>
      </c>
      <c r="AI10" s="13">
        <f t="shared" si="1"/>
        <v>38262.7</v>
      </c>
      <c r="AJ10" s="5"/>
      <c r="AK10" s="5"/>
      <c r="AL10" s="5"/>
      <c r="AM10" s="5"/>
      <c r="AN10" s="5"/>
    </row>
    <row r="11" ht="23.25" customHeight="1">
      <c r="A11" s="15" t="s">
        <v>23</v>
      </c>
      <c r="B11" s="10">
        <v>0.0</v>
      </c>
      <c r="C11" s="10">
        <v>0.0</v>
      </c>
      <c r="D11" s="10">
        <v>0.0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6">
        <v>2783.0</v>
      </c>
      <c r="AB11" s="16">
        <v>1924.0</v>
      </c>
      <c r="AC11" s="16">
        <v>2498.0</v>
      </c>
      <c r="AD11" s="16">
        <v>2178.0</v>
      </c>
      <c r="AE11" s="16">
        <v>1206.0</v>
      </c>
      <c r="AF11" s="17">
        <v>1456.0</v>
      </c>
      <c r="AG11" s="17">
        <v>1894.0</v>
      </c>
      <c r="AH11" s="17">
        <v>969.0</v>
      </c>
      <c r="AI11" s="13">
        <f t="shared" si="1"/>
        <v>12045</v>
      </c>
      <c r="AJ11" s="18"/>
      <c r="AK11" s="5"/>
      <c r="AL11" s="5"/>
      <c r="AM11" s="5"/>
      <c r="AN11" s="5"/>
    </row>
    <row r="12" ht="23.25" customHeight="1">
      <c r="A12" s="19" t="s">
        <v>24</v>
      </c>
      <c r="B12" s="13">
        <f t="shared" ref="B12:AI12" si="3">SUM(B5:B11)</f>
        <v>2689.28</v>
      </c>
      <c r="C12" s="13">
        <f t="shared" si="3"/>
        <v>71455.4</v>
      </c>
      <c r="D12" s="13">
        <f t="shared" si="3"/>
        <v>70224.76</v>
      </c>
      <c r="E12" s="13">
        <f t="shared" si="3"/>
        <v>61194.12</v>
      </c>
      <c r="F12" s="13">
        <f t="shared" si="3"/>
        <v>20400.64</v>
      </c>
      <c r="G12" s="13">
        <f t="shared" si="3"/>
        <v>24368.88</v>
      </c>
      <c r="H12" s="13">
        <f t="shared" si="3"/>
        <v>30802.04</v>
      </c>
      <c r="I12" s="13">
        <f t="shared" si="3"/>
        <v>36167.48</v>
      </c>
      <c r="J12" s="13">
        <f t="shared" si="3"/>
        <v>38499.92</v>
      </c>
      <c r="K12" s="13">
        <f t="shared" si="3"/>
        <v>63931.96</v>
      </c>
      <c r="L12" s="13">
        <f t="shared" si="3"/>
        <v>59454.6</v>
      </c>
      <c r="M12" s="13">
        <f t="shared" si="3"/>
        <v>105660.4</v>
      </c>
      <c r="N12" s="13">
        <f t="shared" si="3"/>
        <v>46653.1352</v>
      </c>
      <c r="O12" s="13">
        <f t="shared" si="3"/>
        <v>89297.3024</v>
      </c>
      <c r="P12" s="13">
        <f t="shared" si="3"/>
        <v>85575.5668</v>
      </c>
      <c r="Q12" s="13">
        <f t="shared" si="3"/>
        <v>57240.8508</v>
      </c>
      <c r="R12" s="13">
        <f t="shared" si="3"/>
        <v>39660.172</v>
      </c>
      <c r="S12" s="13">
        <f t="shared" si="3"/>
        <v>29015.7516</v>
      </c>
      <c r="T12" s="13">
        <f t="shared" si="3"/>
        <v>27236.2676</v>
      </c>
      <c r="U12" s="13">
        <f t="shared" si="3"/>
        <v>39318.88</v>
      </c>
      <c r="V12" s="13">
        <f t="shared" si="3"/>
        <v>76814.12</v>
      </c>
      <c r="W12" s="13">
        <f t="shared" si="3"/>
        <v>246272.8708</v>
      </c>
      <c r="X12" s="13">
        <f t="shared" si="3"/>
        <v>215911.2264</v>
      </c>
      <c r="Y12" s="13">
        <f t="shared" si="3"/>
        <v>141992.81</v>
      </c>
      <c r="Z12" s="13">
        <f t="shared" si="3"/>
        <v>92766.09</v>
      </c>
      <c r="AA12" s="13">
        <f t="shared" si="3"/>
        <v>92883.3816</v>
      </c>
      <c r="AB12" s="13">
        <f t="shared" si="3"/>
        <v>101630.36</v>
      </c>
      <c r="AC12" s="13">
        <f t="shared" si="3"/>
        <v>114627.08</v>
      </c>
      <c r="AD12" s="13">
        <f t="shared" si="3"/>
        <v>107316.52</v>
      </c>
      <c r="AE12" s="13">
        <f t="shared" si="3"/>
        <v>97568.56</v>
      </c>
      <c r="AF12" s="13">
        <f t="shared" si="3"/>
        <v>126279.88</v>
      </c>
      <c r="AG12" s="13">
        <f t="shared" si="3"/>
        <v>113860.6</v>
      </c>
      <c r="AH12" s="13">
        <f t="shared" si="3"/>
        <v>88505</v>
      </c>
      <c r="AI12" s="13">
        <f t="shared" si="3"/>
        <v>2412910.305</v>
      </c>
      <c r="AJ12" s="18"/>
      <c r="AK12" s="5"/>
      <c r="AL12" s="5"/>
      <c r="AM12" s="5"/>
      <c r="AN12" s="5"/>
    </row>
    <row r="13" ht="23.25" customHeight="1">
      <c r="A13" s="20"/>
      <c r="B13" s="1"/>
      <c r="C13" s="1"/>
      <c r="D13" s="1"/>
      <c r="E13" s="1"/>
      <c r="F13" s="1"/>
      <c r="G13" s="1"/>
      <c r="H13" s="1"/>
      <c r="I13" s="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1"/>
      <c r="AJ13" s="18"/>
      <c r="AK13" s="5"/>
      <c r="AL13" s="5"/>
      <c r="AM13" s="5"/>
      <c r="AN13" s="5"/>
    </row>
    <row r="14" ht="23.25" customHeight="1">
      <c r="A14" s="22" t="s">
        <v>25</v>
      </c>
      <c r="B14" s="23">
        <f t="shared" ref="B14:AI14" si="4">B3-B12</f>
        <v>7942.72</v>
      </c>
      <c r="C14" s="23">
        <f t="shared" si="4"/>
        <v>48179.6</v>
      </c>
      <c r="D14" s="23">
        <f t="shared" si="4"/>
        <v>15544.24</v>
      </c>
      <c r="E14" s="23">
        <f t="shared" si="4"/>
        <v>8283.88</v>
      </c>
      <c r="F14" s="23">
        <f t="shared" si="4"/>
        <v>9590.36</v>
      </c>
      <c r="G14" s="23">
        <f t="shared" si="4"/>
        <v>1928.12</v>
      </c>
      <c r="H14" s="23">
        <f t="shared" si="4"/>
        <v>27798.96</v>
      </c>
      <c r="I14" s="23">
        <f t="shared" si="4"/>
        <v>32094.52</v>
      </c>
      <c r="J14" s="23">
        <f t="shared" si="4"/>
        <v>23373.08</v>
      </c>
      <c r="K14" s="23">
        <f t="shared" si="4"/>
        <v>27612.04</v>
      </c>
      <c r="L14" s="23">
        <f t="shared" si="4"/>
        <v>35290.4</v>
      </c>
      <c r="M14" s="23">
        <f t="shared" si="4"/>
        <v>54274.6</v>
      </c>
      <c r="N14" s="23">
        <f t="shared" si="4"/>
        <v>24730.2448</v>
      </c>
      <c r="O14" s="23">
        <f t="shared" si="4"/>
        <v>34640.2576</v>
      </c>
      <c r="P14" s="23">
        <f t="shared" si="4"/>
        <v>31567.3532</v>
      </c>
      <c r="Q14" s="23">
        <f t="shared" si="4"/>
        <v>13499.1692</v>
      </c>
      <c r="R14" s="23">
        <f t="shared" si="4"/>
        <v>4620.378</v>
      </c>
      <c r="S14" s="23">
        <f t="shared" si="4"/>
        <v>12050.5384</v>
      </c>
      <c r="T14" s="23">
        <f t="shared" si="4"/>
        <v>10127.9224</v>
      </c>
      <c r="U14" s="23">
        <f t="shared" si="4"/>
        <v>12653.12</v>
      </c>
      <c r="V14" s="23">
        <f t="shared" si="4"/>
        <v>22263.88</v>
      </c>
      <c r="W14" s="23">
        <f t="shared" si="4"/>
        <v>64073.1492</v>
      </c>
      <c r="X14" s="23">
        <f t="shared" si="4"/>
        <v>54796.9336</v>
      </c>
      <c r="Y14" s="23">
        <f t="shared" si="4"/>
        <v>33615.19</v>
      </c>
      <c r="Z14" s="23">
        <f t="shared" si="4"/>
        <v>12946.91</v>
      </c>
      <c r="AA14" s="23">
        <f t="shared" si="4"/>
        <v>13060.6584</v>
      </c>
      <c r="AB14" s="23">
        <f t="shared" si="4"/>
        <v>24383.64</v>
      </c>
      <c r="AC14" s="23">
        <f t="shared" si="4"/>
        <v>17324.92</v>
      </c>
      <c r="AD14" s="23">
        <f t="shared" si="4"/>
        <v>17346.48</v>
      </c>
      <c r="AE14" s="23">
        <f t="shared" si="4"/>
        <v>31745.44</v>
      </c>
      <c r="AF14" s="23">
        <f t="shared" si="4"/>
        <v>64992.12</v>
      </c>
      <c r="AG14" s="23">
        <f t="shared" si="4"/>
        <v>40079.4</v>
      </c>
      <c r="AH14" s="23">
        <f t="shared" si="4"/>
        <v>19495</v>
      </c>
      <c r="AI14" s="23">
        <f t="shared" si="4"/>
        <v>792350.8248</v>
      </c>
      <c r="AJ14" s="18"/>
      <c r="AK14" s="24"/>
      <c r="AL14" s="24"/>
      <c r="AM14" s="24"/>
      <c r="AN14" s="24"/>
    </row>
    <row r="15" ht="23.25" customHeight="1">
      <c r="A15" s="25" t="s">
        <v>26</v>
      </c>
      <c r="B15" s="26">
        <f t="shared" ref="B15:AI15" si="5">B14/B3</f>
        <v>0.7470579383</v>
      </c>
      <c r="C15" s="26">
        <f t="shared" si="5"/>
        <v>0.4027216116</v>
      </c>
      <c r="D15" s="26">
        <f t="shared" si="5"/>
        <v>0.1812337791</v>
      </c>
      <c r="E15" s="26">
        <f t="shared" si="5"/>
        <v>0.1192302599</v>
      </c>
      <c r="F15" s="26">
        <f t="shared" si="5"/>
        <v>0.319774599</v>
      </c>
      <c r="G15" s="26">
        <f t="shared" si="5"/>
        <v>0.07332091113</v>
      </c>
      <c r="H15" s="26">
        <f t="shared" si="5"/>
        <v>0.4743768878</v>
      </c>
      <c r="I15" s="26">
        <f t="shared" si="5"/>
        <v>0.4701667106</v>
      </c>
      <c r="J15" s="26">
        <f t="shared" si="5"/>
        <v>0.3777589579</v>
      </c>
      <c r="K15" s="26">
        <f t="shared" si="5"/>
        <v>0.3016258848</v>
      </c>
      <c r="L15" s="26">
        <f t="shared" si="5"/>
        <v>0.3724777033</v>
      </c>
      <c r="M15" s="26">
        <f t="shared" si="5"/>
        <v>0.3393541126</v>
      </c>
      <c r="N15" s="26">
        <f t="shared" si="5"/>
        <v>0.3464426145</v>
      </c>
      <c r="O15" s="26">
        <f t="shared" si="5"/>
        <v>0.2794976567</v>
      </c>
      <c r="P15" s="26">
        <f t="shared" si="5"/>
        <v>0.2694772608</v>
      </c>
      <c r="Q15" s="26">
        <f t="shared" si="5"/>
        <v>0.1908278963</v>
      </c>
      <c r="R15" s="26">
        <f t="shared" si="5"/>
        <v>0.1043432839</v>
      </c>
      <c r="S15" s="26">
        <f t="shared" si="5"/>
        <v>0.2934411265</v>
      </c>
      <c r="T15" s="26">
        <f t="shared" si="5"/>
        <v>0.2710596001</v>
      </c>
      <c r="U15" s="26">
        <f t="shared" si="5"/>
        <v>0.2434603248</v>
      </c>
      <c r="V15" s="26">
        <f t="shared" si="5"/>
        <v>0.224710632</v>
      </c>
      <c r="W15" s="26">
        <f t="shared" si="5"/>
        <v>0.2064571319</v>
      </c>
      <c r="X15" s="26">
        <f t="shared" si="5"/>
        <v>0.2024206939</v>
      </c>
      <c r="Y15" s="26">
        <f t="shared" si="5"/>
        <v>0.1914217462</v>
      </c>
      <c r="Z15" s="26">
        <f t="shared" si="5"/>
        <v>0.1224722598</v>
      </c>
      <c r="AA15" s="26">
        <f t="shared" si="5"/>
        <v>0.1232788404</v>
      </c>
      <c r="AB15" s="26">
        <f t="shared" si="5"/>
        <v>0.1934994524</v>
      </c>
      <c r="AC15" s="26">
        <f t="shared" si="5"/>
        <v>0.1312971384</v>
      </c>
      <c r="AD15" s="26">
        <f t="shared" si="5"/>
        <v>0.1391469803</v>
      </c>
      <c r="AE15" s="26">
        <f t="shared" si="5"/>
        <v>0.2454911301</v>
      </c>
      <c r="AF15" s="26">
        <f t="shared" si="5"/>
        <v>0.3397889916</v>
      </c>
      <c r="AG15" s="26">
        <f t="shared" si="5"/>
        <v>0.2603572821</v>
      </c>
      <c r="AH15" s="26">
        <f t="shared" si="5"/>
        <v>0.1805092593</v>
      </c>
      <c r="AI15" s="26">
        <f t="shared" si="5"/>
        <v>0.2472032052</v>
      </c>
      <c r="AJ15" s="18"/>
      <c r="AK15" s="5"/>
      <c r="AL15" s="5"/>
      <c r="AM15" s="5"/>
      <c r="AN15" s="5"/>
    </row>
    <row r="16" ht="23.25" customHeight="1">
      <c r="A16" s="18"/>
      <c r="B16" s="18"/>
      <c r="C16" s="18"/>
      <c r="D16" s="18"/>
      <c r="E16" s="18"/>
      <c r="F16" s="18"/>
      <c r="G16" s="18"/>
      <c r="H16" s="18"/>
      <c r="I16" s="18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8"/>
      <c r="AJ16" s="18"/>
      <c r="AK16" s="18"/>
    </row>
    <row r="17" ht="23.25" customHeight="1">
      <c r="A17" s="18"/>
      <c r="B17" s="18"/>
      <c r="C17" s="18"/>
      <c r="D17" s="18"/>
      <c r="E17" s="18"/>
      <c r="F17" s="18"/>
      <c r="G17" s="18"/>
      <c r="H17" s="18"/>
      <c r="I17" s="18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30" t="s">
        <v>27</v>
      </c>
      <c r="AJ17" s="31" t="s">
        <v>28</v>
      </c>
      <c r="AK17" s="18"/>
    </row>
    <row r="18" ht="23.25" customHeight="1">
      <c r="A18" s="18"/>
      <c r="B18" s="18"/>
      <c r="C18" s="18"/>
      <c r="D18" s="18"/>
      <c r="E18" s="18"/>
      <c r="F18" s="18"/>
      <c r="G18" s="18"/>
      <c r="H18" s="18"/>
      <c r="I18" s="18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32">
        <f>SUM(W14:AH14)</f>
        <v>393859.8412</v>
      </c>
      <c r="AJ18" s="18"/>
      <c r="AK18" s="18"/>
    </row>
    <row r="19" ht="23.25" customHeight="1">
      <c r="A19" s="18"/>
      <c r="B19" s="18"/>
      <c r="C19" s="18"/>
      <c r="D19" s="18"/>
      <c r="E19" s="18"/>
      <c r="F19" s="18"/>
      <c r="G19" s="18"/>
      <c r="H19" s="18"/>
      <c r="I19" s="18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18"/>
      <c r="AJ19" s="18"/>
      <c r="AK19" s="18"/>
    </row>
    <row r="20" ht="23.25" customHeight="1">
      <c r="A20" s="18"/>
      <c r="B20" s="18"/>
      <c r="C20" s="18"/>
      <c r="D20" s="18"/>
      <c r="E20" s="18"/>
      <c r="F20" s="18"/>
      <c r="G20" s="18"/>
      <c r="H20" s="18"/>
      <c r="I20" s="18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9" t="s">
        <v>29</v>
      </c>
      <c r="AH20" s="29" t="s">
        <v>30</v>
      </c>
      <c r="AI20" s="31" t="s">
        <v>31</v>
      </c>
      <c r="AJ20" s="18"/>
      <c r="AK20" s="18"/>
    </row>
    <row r="21" ht="23.25" customHeight="1">
      <c r="A21" s="18"/>
      <c r="B21" s="18"/>
      <c r="C21" s="18"/>
      <c r="D21" s="18"/>
      <c r="E21" s="18"/>
      <c r="F21" s="18"/>
      <c r="G21" s="18"/>
      <c r="H21" s="18"/>
      <c r="I21" s="18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18"/>
      <c r="AJ21" s="18"/>
      <c r="AK21" s="18"/>
    </row>
    <row r="22" ht="23.25" customHeight="1">
      <c r="A22" s="18"/>
      <c r="B22" s="18"/>
      <c r="C22" s="18"/>
      <c r="D22" s="18"/>
      <c r="E22" s="18"/>
      <c r="F22" s="18"/>
      <c r="G22" s="18"/>
      <c r="H22" s="18"/>
      <c r="I22" s="18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18"/>
      <c r="AJ22" s="18"/>
      <c r="AK22" s="18"/>
    </row>
    <row r="23" ht="23.25" customHeight="1">
      <c r="A23" s="18"/>
      <c r="B23" s="18"/>
      <c r="C23" s="18"/>
      <c r="D23" s="18"/>
      <c r="E23" s="18"/>
      <c r="F23" s="18"/>
      <c r="G23" s="18"/>
      <c r="H23" s="18"/>
      <c r="I23" s="18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18"/>
      <c r="AJ23" s="18"/>
      <c r="AK23" s="18"/>
    </row>
    <row r="24" ht="23.25" customHeight="1"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 ht="23.25" customHeight="1"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 ht="23.25" customHeight="1"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 ht="23.25" customHeight="1"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 ht="23.25" customHeight="1"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 ht="23.25" customHeight="1"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 ht="23.25" customHeight="1"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 ht="23.25" customHeight="1"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 ht="23.25" customHeight="1"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 ht="23.25" customHeight="1"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ht="23.25" customHeight="1"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 ht="23.25" customHeight="1"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 ht="23.25" customHeight="1"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 ht="23.25" customHeight="1"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 ht="23.25" customHeight="1"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 ht="23.25" customHeight="1"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 ht="23.25" customHeight="1"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 ht="23.25" customHeight="1"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</row>
    <row r="42" ht="23.25" customHeight="1"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</row>
    <row r="43" ht="23.25" customHeight="1"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 ht="23.25" customHeight="1"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 ht="23.25" customHeight="1"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 ht="23.25" customHeight="1"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  <row r="47" ht="23.25" customHeight="1"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 ht="23.25" customHeight="1"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</row>
    <row r="49" ht="23.25" customHeight="1"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</row>
    <row r="50" ht="23.25" customHeight="1"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</row>
    <row r="51" ht="23.25" customHeight="1"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</row>
    <row r="52" ht="23.25" customHeight="1"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</row>
    <row r="53" ht="23.25" customHeight="1"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</row>
    <row r="54" ht="23.25" customHeight="1"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</row>
    <row r="55" ht="23.25" customHeight="1"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</row>
    <row r="56" ht="23.25" customHeight="1"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</row>
    <row r="57" ht="23.25" customHeight="1"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</row>
    <row r="58" ht="23.25" customHeight="1"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</row>
    <row r="59" ht="23.25" customHeight="1"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</row>
    <row r="60" ht="23.25" customHeight="1"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</row>
    <row r="61" ht="23.25" customHeight="1"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 ht="23.25" customHeight="1"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</row>
    <row r="63" ht="23.25" customHeight="1"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</row>
    <row r="64" ht="23.25" customHeight="1"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</row>
    <row r="65" ht="23.25" customHeight="1"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</row>
    <row r="66" ht="23.25" customHeight="1"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</row>
    <row r="67" ht="23.25" customHeight="1"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</row>
    <row r="68" ht="23.25" customHeight="1"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</row>
    <row r="69" ht="23.25" customHeight="1"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</row>
    <row r="70" ht="23.25" customHeight="1"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</row>
    <row r="71" ht="23.25" customHeight="1"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</row>
    <row r="72" ht="23.25" customHeight="1"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</row>
    <row r="73" ht="23.25" customHeight="1"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 ht="23.25" customHeight="1"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</row>
    <row r="75" ht="23.25" customHeight="1"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</row>
    <row r="76" ht="23.25" customHeight="1"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</row>
    <row r="77" ht="23.25" customHeight="1"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</row>
    <row r="78" ht="23.25" customHeight="1"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</row>
    <row r="79" ht="23.25" customHeight="1"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</row>
    <row r="80" ht="23.25" customHeight="1"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</row>
    <row r="81" ht="23.25" customHeight="1"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</row>
    <row r="82" ht="23.25" customHeight="1"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</row>
    <row r="83" ht="23.25" customHeight="1"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</row>
    <row r="84" ht="23.25" customHeight="1"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</row>
    <row r="85" ht="23.25" customHeight="1"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</row>
    <row r="86" ht="23.25" customHeight="1"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</row>
    <row r="87" ht="23.25" customHeight="1"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</row>
    <row r="88" ht="23.25" customHeight="1"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</row>
    <row r="89" ht="23.25" customHeight="1"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</row>
    <row r="90" ht="23.25" customHeight="1"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</row>
    <row r="91" ht="23.25" customHeight="1"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</row>
    <row r="92" ht="23.25" customHeight="1"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</row>
    <row r="93" ht="23.25" customHeight="1"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</row>
    <row r="94" ht="23.25" customHeight="1"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</row>
    <row r="95" ht="23.25" customHeight="1"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</row>
    <row r="96" ht="23.25" customHeight="1"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</row>
    <row r="97" ht="23.25" customHeight="1"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</row>
    <row r="98" ht="23.25" customHeight="1"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</row>
    <row r="99" ht="23.25" customHeight="1"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</row>
    <row r="100" ht="23.25" customHeight="1"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 ht="23.25" customHeight="1"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 ht="23.25" customHeight="1"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 ht="23.25" customHeight="1"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 ht="23.25" customHeight="1"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 ht="23.25" customHeight="1"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 ht="23.25" customHeight="1"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 ht="23.25" customHeight="1"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 ht="23.25" customHeight="1"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 ht="23.25" customHeight="1"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 ht="23.25" customHeight="1"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 ht="23.25" customHeight="1"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 ht="23.25" customHeight="1"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</row>
    <row r="113" ht="23.25" customHeight="1"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 ht="23.25" customHeight="1"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 ht="23.25" customHeight="1"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 ht="23.25" customHeight="1"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 ht="23.25" customHeight="1"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 ht="23.25" customHeight="1"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 ht="23.25" customHeight="1"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 ht="23.25" customHeight="1"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 ht="23.25" customHeight="1"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 ht="23.25" customHeight="1"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 ht="23.25" customHeight="1"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 ht="23.25" customHeight="1"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 ht="23.25" customHeight="1"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</row>
    <row r="126" ht="23.25" customHeight="1"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 ht="23.25" customHeight="1"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 ht="23.25" customHeight="1"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 ht="23.25" customHeight="1"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 ht="23.25" customHeight="1"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 ht="23.25" customHeight="1"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 ht="23.25" customHeight="1"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 ht="23.25" customHeight="1"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 ht="23.25" customHeight="1"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</row>
    <row r="135" ht="23.25" customHeight="1"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 ht="23.25" customHeight="1"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 ht="23.25" customHeight="1"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 ht="23.25" customHeight="1"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 ht="23.25" customHeight="1"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 ht="23.25" customHeight="1"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 ht="23.25" customHeight="1"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</row>
    <row r="142" ht="23.25" customHeight="1"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 ht="23.25" customHeight="1"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 ht="23.25" customHeight="1"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 ht="23.25" customHeight="1"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 ht="23.25" customHeight="1"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 ht="23.25" customHeight="1"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 ht="23.25" customHeight="1"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</row>
    <row r="149" ht="23.25" customHeight="1"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 ht="23.25" customHeight="1"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 ht="23.25" customHeight="1"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 ht="23.25" customHeight="1"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 ht="23.25" customHeight="1"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 ht="23.25" customHeight="1"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 ht="23.25" customHeight="1"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 ht="23.25" customHeight="1"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 ht="23.25" customHeight="1"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 ht="23.25" customHeight="1"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 ht="23.25" customHeight="1"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 ht="23.25" customHeight="1"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 ht="23.25" customHeight="1"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 ht="23.25" customHeight="1"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 ht="23.25" customHeight="1"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 ht="23.25" customHeight="1"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 ht="23.25" customHeight="1"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 ht="23.25" customHeight="1"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 ht="23.25" customHeight="1"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 ht="23.25" customHeight="1"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 ht="23.25" customHeight="1"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 ht="23.25" customHeight="1"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 ht="23.25" customHeight="1"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 ht="23.25" customHeight="1"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 ht="23.25" customHeight="1"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 ht="23.25" customHeight="1"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 ht="23.25" customHeight="1"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 ht="23.25" customHeight="1"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 ht="23.25" customHeight="1"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 ht="23.25" customHeight="1"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 ht="23.25" customHeight="1"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 ht="23.25" customHeight="1"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 ht="23.25" customHeight="1"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 ht="23.25" customHeight="1"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 ht="23.25" customHeight="1"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 ht="23.25" customHeight="1"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 ht="23.25" customHeight="1"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 ht="23.25" customHeight="1"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 ht="23.25" customHeight="1"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 ht="23.25" customHeight="1"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 ht="23.25" customHeight="1"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 ht="23.25" customHeight="1"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 ht="23.25" customHeight="1"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 ht="23.25" customHeight="1"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 ht="23.25" customHeight="1"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 ht="23.25" customHeight="1"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 ht="23.25" customHeight="1"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 ht="23.25" customHeight="1"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 ht="23.25" customHeight="1"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 ht="23.25" customHeight="1"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 ht="23.25" customHeight="1"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 ht="23.25" customHeight="1"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 ht="23.25" customHeight="1"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 ht="23.25" customHeight="1"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 ht="23.25" customHeight="1"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 ht="23.25" customHeight="1"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 ht="23.25" customHeight="1"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 ht="23.25" customHeight="1"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 ht="23.25" customHeight="1"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 ht="23.25" customHeight="1"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 ht="23.25" customHeight="1"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 ht="23.25" customHeight="1"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 ht="23.25" customHeight="1"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 ht="23.25" customHeight="1"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 ht="23.25" customHeight="1"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 ht="23.25" customHeight="1"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 ht="23.25" customHeight="1"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 ht="23.25" customHeight="1"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