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<sst xmlns="http://schemas.openxmlformats.org/spreadsheetml/2006/main" count="326" uniqueCount="43">
  <si>
    <t>Income</t>
  </si>
  <si>
    <t xml:space="preserve">January </t>
  </si>
  <si>
    <t xml:space="preserve">Febraury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</si>
  <si>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</si>
  <si>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</si>
  <si>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</si>
  <si>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</si>
  <si>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</si>
  <si>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</si>
  <si>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</si>
  <si>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</si>
  <si>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</si>
  <si>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</si>
  <si>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</si>
  <si>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</si>
  <si>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</si>
  <si>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</si>
  <si>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</si>
  <si>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</si>
  <si>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Febraury</t>
  </si>
  <si>
    <t>Product Costs + Shipping</t>
  </si>
  <si>
    <t xml:space="preserve">Gross Profit </t>
  </si>
  <si>
    <t>Expenses</t>
  </si>
  <si>
    <t>TikTok</t>
  </si>
  <si>
    <t>Google</t>
  </si>
  <si>
    <t>Facebook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</si>
  <si>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</si>
  <si>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</si>
  <si>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</si>
  <si>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</si>
  <si>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</si>
  <si>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</si>
  <si>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</si>
  <si>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</si>
  <si>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</si>
  <si>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</si>
  <si>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</si>
  <si>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</si>
  <si>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</si>
  <si>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</si>
  <si>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Snapchat</t>
  </si>
  <si>
    <t>Pinterest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</si>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</sst>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theme="1"/>
      <name val="Calibri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3" fontId="8" numFmtId="0" xfId="0" applyAlignment="1" applyFont="1">
      <alignment vertical="bottom"/>
    </xf>
    <xf borderId="0" fillId="4" fontId="8" numFmtId="164" xfId="0" applyAlignment="1" applyFill="1" applyFont="1" applyNumberFormat="1">
      <alignment readingOrder="0" shrinkToFit="0" wrapText="0"/>
    </xf>
    <xf borderId="0" fillId="4" fontId="8" numFmtId="164" xfId="0" applyAlignment="1" applyFont="1" applyNumberForma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5" fontId="2" numFmtId="164" xfId="0" applyAlignment="1" applyFont="1" applyNumberFormat="1">
      <alignment horizontal="right" vertical="bottom"/>
    </xf>
    <xf borderId="0" fillId="3" fontId="5" numFmtId="164" xfId="0" applyAlignment="1" applyFont="1" applyNumberFormat="1">
      <alignment horizontal="right" readingOrder="0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3" fontId="5" numFmtId="165" xfId="0" applyAlignment="1" applyFont="1" applyNumberFormat="1">
      <alignment horizontal="right" vertical="bottom"/>
    </xf>
    <xf borderId="0" fillId="0" fontId="5" numFmtId="0" xfId="0" applyFont="1"/>
    <xf borderId="0" fillId="5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1" numFmtId="0" xfId="0" applyAlignment="1" applyFont="1">
      <alignment vertical="bottom"/>
    </xf>
    <xf borderId="0" fillId="5" fontId="11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shrinkToFit="0" wrapText="0"/>
    </xf>
    <xf borderId="0" fillId="6" fontId="7" numFmtId="164" xfId="0" applyAlignment="1" applyFill="1" applyFont="1" applyNumberFormat="1">
      <alignment horizontal="right" readingOrder="0" shrinkToFit="0" wrapText="0"/>
    </xf>
    <xf borderId="0" fillId="6" fontId="7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horizontal="right" readingOrder="0"/>
    </xf>
    <xf borderId="0" fillId="5" fontId="6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'2026'!$A$34:$A$38</c:f>
            </c:strRef>
          </c:cat>
          <c:val>
            <c:numRef>
              <c:f>'2026'!$B$34:$B$38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'2025'!$A$34:$A$38</c:f>
            </c:strRef>
          </c:cat>
          <c:val>
            <c:numRef>
              <c:f>'2025'!$B$34:$B$38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32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32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14.43"/>
    <col customWidth="1" min="3" max="3" width="17.86"/>
    <col customWidth="1" min="4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134588.0</v>
      </c>
      <c r="C5" s="12">
        <v>80901.0</v>
      </c>
      <c r="D5" s="13"/>
      <c r="E5" s="14"/>
      <c r="F5" s="14"/>
      <c r="G5" s="15"/>
      <c r="H5" s="16"/>
      <c r="I5" s="16"/>
      <c r="J5" s="17"/>
      <c r="K5" s="16"/>
      <c r="L5" s="15"/>
      <c r="M5" s="15"/>
      <c r="N5" s="18">
        <f t="shared" ref="N5:N8" si="1">SUM(B5:M5)</f>
        <v>215489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>
        <v>3152.93</v>
      </c>
      <c r="C6" s="12">
        <v>438.0</v>
      </c>
      <c r="D6" s="13"/>
      <c r="E6" s="14"/>
      <c r="F6" s="13"/>
      <c r="G6" s="14"/>
      <c r="H6" s="15"/>
      <c r="I6" s="15"/>
      <c r="J6" s="20"/>
      <c r="K6" s="12"/>
      <c r="L6" s="15"/>
      <c r="M6" s="15"/>
      <c r="N6" s="18">
        <f t="shared" si="1"/>
        <v>3590.93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>
        <v>300.0</v>
      </c>
      <c r="C7" s="22">
        <v>100.0</v>
      </c>
      <c r="D7" s="23"/>
      <c r="E7" s="23"/>
      <c r="F7" s="23"/>
      <c r="G7" s="23"/>
      <c r="H7" s="23"/>
      <c r="I7" s="23"/>
      <c r="J7" s="21"/>
      <c r="K7" s="21"/>
      <c r="L7" s="21"/>
      <c r="M7" s="21"/>
      <c r="N7" s="18">
        <f t="shared" si="1"/>
        <v>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131135.07</v>
      </c>
      <c r="C8" s="25">
        <f t="shared" si="2"/>
        <v>80363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211498.07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19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20</v>
      </c>
      <c r="B12" s="21">
        <v>29911.0</v>
      </c>
      <c r="C12" s="22">
        <v>20681.0</v>
      </c>
      <c r="D12" s="27"/>
      <c r="E12" s="27"/>
      <c r="F12" s="27"/>
      <c r="G12" s="27"/>
      <c r="H12" s="28"/>
      <c r="I12" s="27"/>
      <c r="J12" s="29"/>
      <c r="K12" s="29"/>
      <c r="L12" s="21"/>
      <c r="M12" s="21"/>
      <c r="N12" s="30">
        <f t="shared" ref="N12:N13" si="4">SUM(B12:M12)</f>
        <v>50592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21</v>
      </c>
      <c r="B13" s="31">
        <f t="shared" ref="B13:M13" si="3">B8-B12</f>
        <v>101224.07</v>
      </c>
      <c r="C13" s="31">
        <f t="shared" si="3"/>
        <v>59682</v>
      </c>
      <c r="D13" s="31">
        <f t="shared" si="3"/>
        <v>0</v>
      </c>
      <c r="E13" s="31">
        <f t="shared" si="3"/>
        <v>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32">
        <f t="shared" si="4"/>
        <v>160906.07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19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3" t="s">
        <v>23</v>
      </c>
      <c r="B17" s="12">
        <v>0.0</v>
      </c>
      <c r="C17" s="12">
        <v>0.0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4">
        <f t="shared" ref="N17:N27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24</v>
      </c>
      <c r="B18" s="12">
        <v>1710.84</v>
      </c>
      <c r="C18" s="12">
        <v>1760.0</v>
      </c>
      <c r="D18" s="12"/>
      <c r="E18" s="12"/>
      <c r="F18" s="12"/>
      <c r="G18" s="12"/>
      <c r="H18" s="12"/>
      <c r="I18" s="12"/>
      <c r="J18" s="12"/>
      <c r="K18" s="36"/>
      <c r="L18" s="13"/>
      <c r="M18" s="13"/>
      <c r="N18" s="34">
        <f t="shared" si="5"/>
        <v>3470.84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2">
        <v>56843.34</v>
      </c>
      <c r="C19" s="12">
        <v>32447.0</v>
      </c>
      <c r="D19" s="12"/>
      <c r="E19" s="12"/>
      <c r="F19" s="12"/>
      <c r="G19" s="12"/>
      <c r="H19" s="12"/>
      <c r="I19" s="12"/>
      <c r="J19" s="12"/>
      <c r="K19" s="36"/>
      <c r="L19" s="13"/>
      <c r="M19" s="13"/>
      <c r="N19" s="34">
        <f t="shared" si="5"/>
        <v>89290.34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26</v>
      </c>
      <c r="B20" s="12">
        <f t="shared" ref="B20:C20" si="6">B5*0.025</f>
        <v>3364.7</v>
      </c>
      <c r="C20" s="12">
        <f t="shared" si="6"/>
        <v>2022.525</v>
      </c>
      <c r="D20" s="12"/>
      <c r="E20" s="12"/>
      <c r="F20" s="39"/>
      <c r="G20" s="39"/>
      <c r="H20" s="39"/>
      <c r="I20" s="40"/>
      <c r="J20" s="39"/>
      <c r="K20" s="39"/>
      <c r="L20" s="39"/>
      <c r="M20" s="39"/>
      <c r="N20" s="34">
        <f t="shared" si="5"/>
        <v>5387.225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3" t="s">
        <v>27</v>
      </c>
      <c r="B21" s="12">
        <v>0.0</v>
      </c>
      <c r="C21" s="12">
        <v>0.0</v>
      </c>
      <c r="D21" s="12"/>
      <c r="E21" s="12"/>
      <c r="F21" s="12"/>
      <c r="G21" s="12"/>
      <c r="H21" s="12"/>
      <c r="I21" s="12"/>
      <c r="J21" s="12"/>
      <c r="K21" s="12"/>
      <c r="L21" s="12"/>
      <c r="M21" s="41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3" t="s">
        <v>28</v>
      </c>
      <c r="B22" s="12">
        <v>372.15</v>
      </c>
      <c r="C22" s="12">
        <v>859.0</v>
      </c>
      <c r="D22" s="12"/>
      <c r="E22" s="12"/>
      <c r="F22" s="12"/>
      <c r="G22" s="12"/>
      <c r="H22" s="12"/>
      <c r="I22" s="12"/>
      <c r="J22" s="12"/>
      <c r="K22" s="12"/>
      <c r="L22" s="12"/>
      <c r="M22" s="41"/>
      <c r="N22" s="34">
        <f t="shared" si="5"/>
        <v>1231.15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3" t="s">
        <v>29</v>
      </c>
      <c r="B23" s="21">
        <v>500.0</v>
      </c>
      <c r="C23" s="22">
        <v>737.0</v>
      </c>
      <c r="D23" s="12"/>
      <c r="E23" s="12"/>
      <c r="F23" s="12"/>
      <c r="G23" s="12"/>
      <c r="H23" s="12"/>
      <c r="I23" s="12"/>
      <c r="J23" s="21"/>
      <c r="K23" s="29"/>
      <c r="L23" s="21"/>
      <c r="M23" s="21"/>
      <c r="N23" s="34">
        <f t="shared" si="5"/>
        <v>1237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2" t="s">
        <v>30</v>
      </c>
      <c r="B24" s="21">
        <v>700.0</v>
      </c>
      <c r="C24" s="22">
        <v>200.0</v>
      </c>
      <c r="D24" s="12"/>
      <c r="E24" s="12"/>
      <c r="F24" s="12"/>
      <c r="G24" s="12"/>
      <c r="H24" s="12"/>
      <c r="I24" s="12"/>
      <c r="J24" s="21"/>
      <c r="K24" s="21"/>
      <c r="L24" s="21"/>
      <c r="M24" s="21"/>
      <c r="N24" s="34">
        <f t="shared" si="5"/>
        <v>900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8" t="s">
        <v>31</v>
      </c>
      <c r="B25" s="21">
        <v>1200.0</v>
      </c>
      <c r="C25" s="22">
        <v>1295.0</v>
      </c>
      <c r="D25" s="12"/>
      <c r="E25" s="12"/>
      <c r="F25" s="12"/>
      <c r="G25" s="12"/>
      <c r="H25" s="12"/>
      <c r="I25" s="12"/>
      <c r="J25" s="43"/>
      <c r="K25" s="21"/>
      <c r="L25" s="21"/>
      <c r="M25" s="21"/>
      <c r="N25" s="34">
        <f t="shared" si="5"/>
        <v>2495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7" t="s">
        <v>32</v>
      </c>
      <c r="B26" s="44">
        <v>0.0</v>
      </c>
      <c r="C26" s="44">
        <v>0.0</v>
      </c>
      <c r="D26" s="12"/>
      <c r="E26" s="12"/>
      <c r="F26" s="12"/>
      <c r="G26" s="12"/>
      <c r="H26" s="12"/>
      <c r="I26" s="12"/>
      <c r="J26" s="43"/>
      <c r="K26" s="21"/>
      <c r="L26" s="21"/>
      <c r="M26" s="21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4" t="s">
        <v>33</v>
      </c>
      <c r="B27" s="45">
        <f t="shared" ref="B27:M27" si="7">SUM(B17:B26)</f>
        <v>64691.03</v>
      </c>
      <c r="C27" s="45">
        <f t="shared" si="7"/>
        <v>39320.525</v>
      </c>
      <c r="D27" s="45">
        <f t="shared" si="7"/>
        <v>0</v>
      </c>
      <c r="E27" s="45">
        <f t="shared" si="7"/>
        <v>0</v>
      </c>
      <c r="F27" s="45">
        <f t="shared" si="7"/>
        <v>0</v>
      </c>
      <c r="G27" s="45">
        <f t="shared" si="7"/>
        <v>0</v>
      </c>
      <c r="H27" s="45">
        <f t="shared" si="7"/>
        <v>0</v>
      </c>
      <c r="I27" s="45">
        <f t="shared" si="7"/>
        <v>0</v>
      </c>
      <c r="J27" s="45">
        <f t="shared" si="7"/>
        <v>0</v>
      </c>
      <c r="K27" s="45">
        <f t="shared" si="7"/>
        <v>0</v>
      </c>
      <c r="L27" s="45">
        <f t="shared" si="7"/>
        <v>0</v>
      </c>
      <c r="M27" s="45">
        <f t="shared" si="7"/>
        <v>0</v>
      </c>
      <c r="N27" s="46">
        <f t="shared" si="5"/>
        <v>104011.555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/>
      <c r="B28" s="6"/>
      <c r="C28" s="6"/>
      <c r="D28" s="6"/>
      <c r="E28" s="47"/>
      <c r="F28" s="47"/>
      <c r="G28" s="47"/>
      <c r="H28" s="47"/>
      <c r="I28" s="47"/>
      <c r="J28" s="6"/>
      <c r="K28" s="6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 t="s">
        <v>34</v>
      </c>
      <c r="B29" s="9" t="s">
        <v>1</v>
      </c>
      <c r="C29" s="9" t="s">
        <v>19</v>
      </c>
      <c r="D29" s="9" t="s">
        <v>3</v>
      </c>
      <c r="E29" s="8" t="s">
        <v>4</v>
      </c>
      <c r="F29" s="8" t="s">
        <v>5</v>
      </c>
      <c r="G29" s="8" t="s">
        <v>6</v>
      </c>
      <c r="H29" s="8" t="s">
        <v>7</v>
      </c>
      <c r="I29" s="8" t="s">
        <v>8</v>
      </c>
      <c r="J29" s="8" t="s">
        <v>9</v>
      </c>
      <c r="K29" s="8" t="s">
        <v>10</v>
      </c>
      <c r="L29" s="8" t="s">
        <v>11</v>
      </c>
      <c r="M29" s="8" t="s">
        <v>12</v>
      </c>
      <c r="N29" s="48" t="s">
        <v>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36</v>
      </c>
      <c r="B30" s="49">
        <f t="shared" ref="B30:M30" si="8">MINUS(B13,B27)</f>
        <v>36533.04</v>
      </c>
      <c r="C30" s="49">
        <f t="shared" si="8"/>
        <v>20361.475</v>
      </c>
      <c r="D30" s="49">
        <f t="shared" si="8"/>
        <v>0</v>
      </c>
      <c r="E30" s="49">
        <f t="shared" si="8"/>
        <v>0</v>
      </c>
      <c r="F30" s="49">
        <f t="shared" si="8"/>
        <v>0</v>
      </c>
      <c r="G30" s="49">
        <f t="shared" si="8"/>
        <v>0</v>
      </c>
      <c r="H30" s="49">
        <f t="shared" si="8"/>
        <v>0</v>
      </c>
      <c r="I30" s="49">
        <f t="shared" si="8"/>
        <v>0</v>
      </c>
      <c r="J30" s="49">
        <f t="shared" si="8"/>
        <v>0</v>
      </c>
      <c r="K30" s="49">
        <f t="shared" si="8"/>
        <v>0</v>
      </c>
      <c r="L30" s="49">
        <f t="shared" si="8"/>
        <v>0</v>
      </c>
      <c r="M30" s="49">
        <f t="shared" si="8"/>
        <v>0</v>
      </c>
      <c r="N30" s="50">
        <f>SUM(B30:M30)</f>
        <v>56894.515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2" t="s">
        <v>37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25</v>
      </c>
      <c r="B34" s="53">
        <f>SUM(N19)</f>
        <v>89290.34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38</v>
      </c>
      <c r="B35" s="53">
        <f>SUM(N18)</f>
        <v>3470.84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7"/>
      <c r="N35" s="7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39</v>
      </c>
      <c r="B36" s="54">
        <f>sum(N17)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40</v>
      </c>
      <c r="B37" s="53" t="str">
        <f>SUM(#REF!)</f>
        <v>#REF!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41</v>
      </c>
      <c r="B38" s="53" t="str">
        <f>sum(#REF!)</f>
        <v>#REF!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5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7"/>
      <c r="B44" s="5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7"/>
      <c r="B45" s="5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7"/>
      <c r="B47" s="5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7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1">
    <mergeCell ref="A33:B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19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4"/>
      <c r="D5" s="13"/>
      <c r="E5" s="14"/>
      <c r="F5" s="14"/>
      <c r="G5" s="15"/>
      <c r="H5" s="16"/>
      <c r="I5" s="16"/>
      <c r="J5" s="40">
        <v>65370.59</v>
      </c>
      <c r="K5" s="40">
        <v>79506.46</v>
      </c>
      <c r="L5" s="60">
        <v>82607.51</v>
      </c>
      <c r="M5" s="60">
        <v>113494.36</v>
      </c>
      <c r="N5" s="18">
        <f t="shared" ref="N5:N8" si="1">SUM(B5:M5)</f>
        <v>340978.92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4"/>
      <c r="D6" s="13"/>
      <c r="E6" s="14"/>
      <c r="F6" s="13"/>
      <c r="G6" s="14"/>
      <c r="H6" s="15"/>
      <c r="I6" s="15"/>
      <c r="J6" s="11">
        <v>315.52</v>
      </c>
      <c r="K6" s="12">
        <v>1006.64</v>
      </c>
      <c r="L6" s="60">
        <v>486.15</v>
      </c>
      <c r="M6" s="60">
        <v>2105.62</v>
      </c>
      <c r="N6" s="18">
        <f t="shared" si="1"/>
        <v>3913.93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/>
      <c r="H7" s="23"/>
      <c r="I7" s="23"/>
      <c r="J7" s="21">
        <v>320.0</v>
      </c>
      <c r="K7" s="21">
        <v>300.0</v>
      </c>
      <c r="L7" s="21">
        <v>300.0</v>
      </c>
      <c r="M7" s="21">
        <v>300.0</v>
      </c>
      <c r="N7" s="18">
        <f t="shared" si="1"/>
        <v>1220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64735.07</v>
      </c>
      <c r="K8" s="25">
        <f t="shared" si="2"/>
        <v>78199.82</v>
      </c>
      <c r="L8" s="25">
        <f t="shared" si="2"/>
        <v>81821.36</v>
      </c>
      <c r="M8" s="25">
        <f t="shared" si="2"/>
        <v>111088.74</v>
      </c>
      <c r="N8" s="26">
        <f t="shared" si="1"/>
        <v>335844.99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19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20</v>
      </c>
      <c r="B12" s="27"/>
      <c r="C12" s="27"/>
      <c r="D12" s="27"/>
      <c r="E12" s="27"/>
      <c r="F12" s="27"/>
      <c r="G12" s="27"/>
      <c r="H12" s="28"/>
      <c r="I12" s="27"/>
      <c r="J12" s="29">
        <v>13712.0</v>
      </c>
      <c r="K12" s="29">
        <v>15507.0</v>
      </c>
      <c r="L12" s="21">
        <v>19814.0</v>
      </c>
      <c r="M12" s="21">
        <v>27624.0</v>
      </c>
      <c r="N12" s="30">
        <f t="shared" ref="N12:N13" si="4">SUM(B12:M12)</f>
        <v>76657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21</v>
      </c>
      <c r="B13" s="31">
        <f t="shared" ref="B13:M13" si="3">B8-B12</f>
        <v>0</v>
      </c>
      <c r="C13" s="31">
        <f t="shared" si="3"/>
        <v>0</v>
      </c>
      <c r="D13" s="31">
        <f t="shared" si="3"/>
        <v>0</v>
      </c>
      <c r="E13" s="31">
        <f t="shared" si="3"/>
        <v>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51023.07</v>
      </c>
      <c r="K13" s="31">
        <f t="shared" si="3"/>
        <v>62692.82</v>
      </c>
      <c r="L13" s="31">
        <f t="shared" si="3"/>
        <v>62007.36</v>
      </c>
      <c r="M13" s="31">
        <f t="shared" si="3"/>
        <v>83464.74</v>
      </c>
      <c r="N13" s="32">
        <f t="shared" si="4"/>
        <v>259187.99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19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3" t="s">
        <v>23</v>
      </c>
      <c r="B17" s="12"/>
      <c r="C17" s="12"/>
      <c r="D17" s="12"/>
      <c r="E17" s="12"/>
      <c r="F17" s="12"/>
      <c r="G17" s="12"/>
      <c r="H17" s="12"/>
      <c r="I17" s="12"/>
      <c r="J17" s="21">
        <v>120.0</v>
      </c>
      <c r="K17" s="21">
        <v>50.0</v>
      </c>
      <c r="L17" s="12">
        <v>0.0</v>
      </c>
      <c r="M17" s="12">
        <v>0.0</v>
      </c>
      <c r="N17" s="34">
        <f t="shared" ref="N17:N27" si="5">SUM(B17:M17)</f>
        <v>170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24</v>
      </c>
      <c r="B18" s="12"/>
      <c r="C18" s="12"/>
      <c r="D18" s="12"/>
      <c r="E18" s="12"/>
      <c r="F18" s="12"/>
      <c r="G18" s="12"/>
      <c r="H18" s="12"/>
      <c r="I18" s="12"/>
      <c r="J18" s="12">
        <v>458.67</v>
      </c>
      <c r="K18" s="36">
        <v>1062.59</v>
      </c>
      <c r="L18" s="13">
        <v>1055.23</v>
      </c>
      <c r="M18" s="13">
        <v>1312.03</v>
      </c>
      <c r="N18" s="34">
        <f t="shared" si="5"/>
        <v>3888.52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2"/>
      <c r="C19" s="12"/>
      <c r="D19" s="12"/>
      <c r="E19" s="12"/>
      <c r="F19" s="12"/>
      <c r="G19" s="12"/>
      <c r="H19" s="12"/>
      <c r="I19" s="12"/>
      <c r="J19" s="12">
        <v>33541.42</v>
      </c>
      <c r="K19" s="36">
        <v>36542.57</v>
      </c>
      <c r="L19" s="13">
        <v>33694.81</v>
      </c>
      <c r="M19" s="13">
        <v>42828.72</v>
      </c>
      <c r="N19" s="34">
        <f t="shared" si="5"/>
        <v>146607.52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26</v>
      </c>
      <c r="B20" s="12"/>
      <c r="C20" s="12"/>
      <c r="D20" s="12"/>
      <c r="E20" s="12"/>
      <c r="F20" s="39"/>
      <c r="G20" s="39"/>
      <c r="H20" s="39"/>
      <c r="I20" s="40"/>
      <c r="J20" s="39">
        <f t="shared" ref="J20:M20" si="6">J5*0.025</f>
        <v>1634.26475</v>
      </c>
      <c r="K20" s="39">
        <f t="shared" si="6"/>
        <v>1987.6615</v>
      </c>
      <c r="L20" s="39">
        <f t="shared" si="6"/>
        <v>2065.18775</v>
      </c>
      <c r="M20" s="39">
        <f t="shared" si="6"/>
        <v>2837.359</v>
      </c>
      <c r="N20" s="34">
        <f t="shared" si="5"/>
        <v>8524.473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3" t="s">
        <v>27</v>
      </c>
      <c r="B21" s="12"/>
      <c r="C21" s="12"/>
      <c r="D21" s="12"/>
      <c r="E21" s="12"/>
      <c r="F21" s="12"/>
      <c r="G21" s="12"/>
      <c r="H21" s="12"/>
      <c r="I21" s="12"/>
      <c r="J21" s="12">
        <v>0.0</v>
      </c>
      <c r="K21" s="12">
        <v>0.0</v>
      </c>
      <c r="L21" s="12">
        <v>0.0</v>
      </c>
      <c r="M21" s="12">
        <v>0.0</v>
      </c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3" t="s">
        <v>28</v>
      </c>
      <c r="B22" s="12"/>
      <c r="C22" s="12"/>
      <c r="D22" s="12"/>
      <c r="E22" s="12"/>
      <c r="F22" s="12"/>
      <c r="G22" s="12"/>
      <c r="H22" s="12"/>
      <c r="I22" s="12"/>
      <c r="J22" s="12">
        <v>318.78</v>
      </c>
      <c r="K22" s="12">
        <v>824.74</v>
      </c>
      <c r="L22" s="12">
        <v>761.79</v>
      </c>
      <c r="M22" s="41">
        <v>849.54</v>
      </c>
      <c r="N22" s="34">
        <f t="shared" si="5"/>
        <v>2754.85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3" t="s">
        <v>29</v>
      </c>
      <c r="B23" s="12"/>
      <c r="C23" s="12"/>
      <c r="D23" s="12"/>
      <c r="E23" s="12"/>
      <c r="F23" s="12"/>
      <c r="G23" s="12"/>
      <c r="H23" s="12"/>
      <c r="I23" s="12"/>
      <c r="J23" s="21">
        <v>30.0</v>
      </c>
      <c r="K23" s="29">
        <v>148.0</v>
      </c>
      <c r="L23" s="21">
        <v>351.0</v>
      </c>
      <c r="M23" s="21">
        <v>556.0</v>
      </c>
      <c r="N23" s="34">
        <f t="shared" si="5"/>
        <v>1085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2" t="s">
        <v>30</v>
      </c>
      <c r="B24" s="12"/>
      <c r="C24" s="12"/>
      <c r="D24" s="12"/>
      <c r="E24" s="12"/>
      <c r="F24" s="12"/>
      <c r="G24" s="12"/>
      <c r="H24" s="12"/>
      <c r="I24" s="12"/>
      <c r="J24" s="21">
        <v>500.0</v>
      </c>
      <c r="K24" s="21">
        <v>500.0</v>
      </c>
      <c r="L24" s="21">
        <v>500.0</v>
      </c>
      <c r="M24" s="21">
        <v>700.0</v>
      </c>
      <c r="N24" s="34">
        <f t="shared" si="5"/>
        <v>2200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8" t="s">
        <v>31</v>
      </c>
      <c r="B25" s="12"/>
      <c r="C25" s="12"/>
      <c r="D25" s="12"/>
      <c r="E25" s="12"/>
      <c r="F25" s="12"/>
      <c r="G25" s="12"/>
      <c r="H25" s="12"/>
      <c r="I25" s="12"/>
      <c r="J25" s="44">
        <v>0.0</v>
      </c>
      <c r="K25" s="21">
        <v>500.0</v>
      </c>
      <c r="L25" s="21">
        <v>955.0</v>
      </c>
      <c r="M25" s="21">
        <v>955.0</v>
      </c>
      <c r="N25" s="34">
        <f t="shared" si="5"/>
        <v>2410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7" t="s">
        <v>32</v>
      </c>
      <c r="B26" s="12"/>
      <c r="C26" s="12"/>
      <c r="D26" s="12"/>
      <c r="E26" s="12"/>
      <c r="F26" s="12"/>
      <c r="G26" s="12"/>
      <c r="H26" s="12"/>
      <c r="I26" s="12"/>
      <c r="J26" s="44">
        <v>0.0</v>
      </c>
      <c r="K26" s="21">
        <v>1552.0</v>
      </c>
      <c r="L26" s="21">
        <v>1552.0</v>
      </c>
      <c r="M26" s="21">
        <v>1552.0</v>
      </c>
      <c r="N26" s="34">
        <f t="shared" si="5"/>
        <v>4656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4" t="s">
        <v>33</v>
      </c>
      <c r="B27" s="45">
        <f t="shared" ref="B27:M27" si="7">SUM(B17:B26)</f>
        <v>0</v>
      </c>
      <c r="C27" s="45">
        <f t="shared" si="7"/>
        <v>0</v>
      </c>
      <c r="D27" s="45">
        <f t="shared" si="7"/>
        <v>0</v>
      </c>
      <c r="E27" s="45">
        <f t="shared" si="7"/>
        <v>0</v>
      </c>
      <c r="F27" s="45">
        <f t="shared" si="7"/>
        <v>0</v>
      </c>
      <c r="G27" s="45">
        <f t="shared" si="7"/>
        <v>0</v>
      </c>
      <c r="H27" s="45">
        <f t="shared" si="7"/>
        <v>0</v>
      </c>
      <c r="I27" s="45">
        <f t="shared" si="7"/>
        <v>0</v>
      </c>
      <c r="J27" s="45">
        <f t="shared" si="7"/>
        <v>36603.13475</v>
      </c>
      <c r="K27" s="45">
        <f t="shared" si="7"/>
        <v>43167.5615</v>
      </c>
      <c r="L27" s="45">
        <f t="shared" si="7"/>
        <v>40935.01775</v>
      </c>
      <c r="M27" s="45">
        <f t="shared" si="7"/>
        <v>51590.649</v>
      </c>
      <c r="N27" s="46">
        <f t="shared" si="5"/>
        <v>172296.363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/>
      <c r="B28" s="6"/>
      <c r="C28" s="6"/>
      <c r="D28" s="6"/>
      <c r="E28" s="47"/>
      <c r="F28" s="47"/>
      <c r="G28" s="47"/>
      <c r="H28" s="47"/>
      <c r="I28" s="47"/>
      <c r="J28" s="6"/>
      <c r="K28" s="6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 t="s">
        <v>34</v>
      </c>
      <c r="B29" s="9" t="s">
        <v>1</v>
      </c>
      <c r="C29" s="9" t="s">
        <v>19</v>
      </c>
      <c r="D29" s="9" t="s">
        <v>3</v>
      </c>
      <c r="E29" s="8" t="s">
        <v>4</v>
      </c>
      <c r="F29" s="8" t="s">
        <v>5</v>
      </c>
      <c r="G29" s="8" t="s">
        <v>6</v>
      </c>
      <c r="H29" s="8" t="s">
        <v>7</v>
      </c>
      <c r="I29" s="8" t="s">
        <v>8</v>
      </c>
      <c r="J29" s="8" t="s">
        <v>9</v>
      </c>
      <c r="K29" s="8" t="s">
        <v>10</v>
      </c>
      <c r="L29" s="8" t="s">
        <v>11</v>
      </c>
      <c r="M29" s="8" t="s">
        <v>12</v>
      </c>
      <c r="N29" s="48" t="s">
        <v>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36</v>
      </c>
      <c r="B30" s="49">
        <f t="shared" ref="B30:M30" si="8">MINUS(B13,B27)</f>
        <v>0</v>
      </c>
      <c r="C30" s="49">
        <f t="shared" si="8"/>
        <v>0</v>
      </c>
      <c r="D30" s="49">
        <f t="shared" si="8"/>
        <v>0</v>
      </c>
      <c r="E30" s="49">
        <f t="shared" si="8"/>
        <v>0</v>
      </c>
      <c r="F30" s="49">
        <f t="shared" si="8"/>
        <v>0</v>
      </c>
      <c r="G30" s="49">
        <f t="shared" si="8"/>
        <v>0</v>
      </c>
      <c r="H30" s="49">
        <f t="shared" si="8"/>
        <v>0</v>
      </c>
      <c r="I30" s="49">
        <f t="shared" si="8"/>
        <v>0</v>
      </c>
      <c r="J30" s="49">
        <f t="shared" si="8"/>
        <v>14419.93525</v>
      </c>
      <c r="K30" s="49">
        <f t="shared" si="8"/>
        <v>19525.2585</v>
      </c>
      <c r="L30" s="49">
        <f t="shared" si="8"/>
        <v>21072.34225</v>
      </c>
      <c r="M30" s="49">
        <f t="shared" si="8"/>
        <v>31874.091</v>
      </c>
      <c r="N30" s="50">
        <f>SUM(B30:M30)</f>
        <v>86891.627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2" t="s">
        <v>37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25</v>
      </c>
      <c r="B34" s="53">
        <f>SUM(N19)</f>
        <v>146607.52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38</v>
      </c>
      <c r="B35" s="53">
        <f>SUM(N18)</f>
        <v>3888.52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7"/>
      <c r="N35" s="7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39</v>
      </c>
      <c r="B36" s="54">
        <f>sum(N17)</f>
        <v>170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40</v>
      </c>
      <c r="B37" s="53" t="str">
        <f>SUM(#REF!)</f>
        <v>#REF!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41</v>
      </c>
      <c r="B38" s="53" t="str">
        <f>sum(#REF!)</f>
        <v>#REF!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5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7"/>
      <c r="B44" s="5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7"/>
      <c r="B45" s="5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7"/>
      <c r="B47" s="5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7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1">
    <mergeCell ref="A33:B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19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7"/>
      <c r="D5" s="13"/>
      <c r="E5" s="27"/>
      <c r="F5" s="27"/>
      <c r="G5" s="61"/>
      <c r="H5" s="62"/>
      <c r="I5" s="63"/>
      <c r="J5" s="64"/>
      <c r="K5" s="62"/>
      <c r="L5" s="61"/>
      <c r="M5" s="61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27"/>
      <c r="D6" s="13"/>
      <c r="E6" s="27"/>
      <c r="F6" s="13"/>
      <c r="G6" s="27"/>
      <c r="H6" s="61"/>
      <c r="I6" s="61"/>
      <c r="J6" s="65"/>
      <c r="K6" s="36"/>
      <c r="L6" s="61"/>
      <c r="M6" s="61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19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20</v>
      </c>
      <c r="B12" s="27"/>
      <c r="C12" s="27"/>
      <c r="D12" s="27"/>
      <c r="E12" s="27"/>
      <c r="F12" s="27"/>
      <c r="G12" s="27"/>
      <c r="H12" s="28"/>
      <c r="I12" s="27"/>
      <c r="J12" s="27"/>
      <c r="K12" s="36"/>
      <c r="L12" s="13"/>
      <c r="M12" s="66"/>
      <c r="N12" s="30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21</v>
      </c>
      <c r="B13" s="31">
        <f t="shared" ref="B13:M13" si="3">B8-B12</f>
        <v>0</v>
      </c>
      <c r="C13" s="31">
        <f t="shared" si="3"/>
        <v>0</v>
      </c>
      <c r="D13" s="31">
        <f t="shared" si="3"/>
        <v>0</v>
      </c>
      <c r="E13" s="31">
        <f t="shared" si="3"/>
        <v>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32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19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3" t="s">
        <v>23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24</v>
      </c>
      <c r="B18" s="12"/>
      <c r="C18" s="12"/>
      <c r="D18" s="12"/>
      <c r="E18" s="12"/>
      <c r="F18" s="12"/>
      <c r="G18" s="12"/>
      <c r="H18" s="12"/>
      <c r="I18" s="12"/>
      <c r="J18" s="12"/>
      <c r="K18" s="36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2"/>
      <c r="C19" s="12"/>
      <c r="D19" s="12"/>
      <c r="E19" s="12"/>
      <c r="F19" s="12"/>
      <c r="G19" s="12"/>
      <c r="H19" s="12"/>
      <c r="I19" s="12"/>
      <c r="J19" s="12"/>
      <c r="K19" s="36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5" t="s">
        <v>40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41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26</v>
      </c>
      <c r="B22" s="12"/>
      <c r="C22" s="12"/>
      <c r="D22" s="12"/>
      <c r="E22" s="12"/>
      <c r="F22" s="39"/>
      <c r="G22" s="39"/>
      <c r="H22" s="39"/>
      <c r="I22" s="39"/>
      <c r="J22" s="39"/>
      <c r="K22" s="39"/>
      <c r="L22" s="39"/>
      <c r="M22" s="39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3" t="s">
        <v>27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1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3" t="s">
        <v>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1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 t="s">
        <v>29</v>
      </c>
      <c r="B25" s="12"/>
      <c r="C25" s="12"/>
      <c r="D25" s="12"/>
      <c r="E25" s="12"/>
      <c r="F25" s="12"/>
      <c r="G25" s="12"/>
      <c r="H25" s="12"/>
      <c r="I25" s="12"/>
      <c r="J25" s="12"/>
      <c r="K25" s="36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7" t="s">
        <v>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33</v>
      </c>
      <c r="B30" s="45">
        <f t="shared" ref="B30:M30" si="6">SUM(B17:B29)</f>
        <v>0</v>
      </c>
      <c r="C30" s="45">
        <f t="shared" si="6"/>
        <v>0</v>
      </c>
      <c r="D30" s="45">
        <f t="shared" si="6"/>
        <v>0</v>
      </c>
      <c r="E30" s="45">
        <f t="shared" si="6"/>
        <v>0</v>
      </c>
      <c r="F30" s="45">
        <f t="shared" si="6"/>
        <v>0</v>
      </c>
      <c r="G30" s="45">
        <f t="shared" si="6"/>
        <v>0</v>
      </c>
      <c r="H30" s="45">
        <f t="shared" si="6"/>
        <v>0</v>
      </c>
      <c r="I30" s="45">
        <f t="shared" si="6"/>
        <v>0</v>
      </c>
      <c r="J30" s="45">
        <f t="shared" si="6"/>
        <v>0</v>
      </c>
      <c r="K30" s="45">
        <f t="shared" si="6"/>
        <v>0</v>
      </c>
      <c r="L30" s="45">
        <f t="shared" si="6"/>
        <v>0</v>
      </c>
      <c r="M30" s="45">
        <f t="shared" si="6"/>
        <v>0</v>
      </c>
      <c r="N30" s="46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7"/>
      <c r="F31" s="47"/>
      <c r="G31" s="47"/>
      <c r="H31" s="47"/>
      <c r="I31" s="47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34</v>
      </c>
      <c r="B32" s="9" t="s">
        <v>1</v>
      </c>
      <c r="C32" s="9" t="s">
        <v>19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8" t="s">
        <v>35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 t="s">
        <v>36</v>
      </c>
      <c r="B33" s="49">
        <f t="shared" ref="B33:M33" si="7">MINUS(B13,B30)</f>
        <v>0</v>
      </c>
      <c r="C33" s="49">
        <f t="shared" si="7"/>
        <v>0</v>
      </c>
      <c r="D33" s="49">
        <f t="shared" si="7"/>
        <v>0</v>
      </c>
      <c r="E33" s="49">
        <f t="shared" si="7"/>
        <v>0</v>
      </c>
      <c r="F33" s="49">
        <f t="shared" si="7"/>
        <v>0</v>
      </c>
      <c r="G33" s="49">
        <f t="shared" si="7"/>
        <v>0</v>
      </c>
      <c r="H33" s="49">
        <f t="shared" si="7"/>
        <v>0</v>
      </c>
      <c r="I33" s="49">
        <f t="shared" si="7"/>
        <v>0</v>
      </c>
      <c r="J33" s="49">
        <f t="shared" si="7"/>
        <v>0</v>
      </c>
      <c r="K33" s="49">
        <f t="shared" si="7"/>
        <v>0</v>
      </c>
      <c r="L33" s="49">
        <f t="shared" si="7"/>
        <v>0</v>
      </c>
      <c r="M33" s="49">
        <f t="shared" si="7"/>
        <v>0</v>
      </c>
      <c r="N33" s="50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 t="s">
        <v>37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53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38</v>
      </c>
      <c r="B38" s="53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39</v>
      </c>
      <c r="B39" s="54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40</v>
      </c>
      <c r="B40" s="53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41</v>
      </c>
      <c r="B41" s="53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7"/>
      <c r="B47" s="5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7"/>
      <c r="B48" s="5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7"/>
      <c r="B50" s="5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7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19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7"/>
      <c r="D5" s="13"/>
      <c r="E5" s="27"/>
      <c r="F5" s="27"/>
      <c r="G5" s="61"/>
      <c r="H5" s="62"/>
      <c r="I5" s="63"/>
      <c r="J5" s="64"/>
      <c r="K5" s="62"/>
      <c r="L5" s="61"/>
      <c r="M5" s="61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27"/>
      <c r="D6" s="13"/>
      <c r="E6" s="27"/>
      <c r="F6" s="13"/>
      <c r="G6" s="27"/>
      <c r="H6" s="61"/>
      <c r="I6" s="61"/>
      <c r="J6" s="65"/>
      <c r="K6" s="36"/>
      <c r="L6" s="61"/>
      <c r="M6" s="61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19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20</v>
      </c>
      <c r="B12" s="27"/>
      <c r="C12" s="27"/>
      <c r="D12" s="27"/>
      <c r="E12" s="27"/>
      <c r="F12" s="27"/>
      <c r="G12" s="27"/>
      <c r="H12" s="28"/>
      <c r="I12" s="27"/>
      <c r="J12" s="27"/>
      <c r="K12" s="36"/>
      <c r="L12" s="13"/>
      <c r="M12" s="66"/>
      <c r="N12" s="30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21</v>
      </c>
      <c r="B13" s="31">
        <f t="shared" ref="B13:M13" si="3">B8-B12</f>
        <v>0</v>
      </c>
      <c r="C13" s="31">
        <f t="shared" si="3"/>
        <v>0</v>
      </c>
      <c r="D13" s="31">
        <f t="shared" si="3"/>
        <v>0</v>
      </c>
      <c r="E13" s="31">
        <f t="shared" si="3"/>
        <v>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32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19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3" t="s">
        <v>23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24</v>
      </c>
      <c r="B18" s="12"/>
      <c r="C18" s="12"/>
      <c r="D18" s="12"/>
      <c r="E18" s="12"/>
      <c r="F18" s="12"/>
      <c r="G18" s="12"/>
      <c r="H18" s="12"/>
      <c r="I18" s="12"/>
      <c r="J18" s="12"/>
      <c r="K18" s="36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25</v>
      </c>
      <c r="B19" s="12"/>
      <c r="C19" s="12"/>
      <c r="D19" s="12"/>
      <c r="E19" s="12"/>
      <c r="F19" s="12"/>
      <c r="G19" s="12"/>
      <c r="H19" s="12"/>
      <c r="I19" s="12"/>
      <c r="J19" s="12"/>
      <c r="K19" s="36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5" t="s">
        <v>40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41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26</v>
      </c>
      <c r="B22" s="12"/>
      <c r="C22" s="12"/>
      <c r="D22" s="12"/>
      <c r="E22" s="12"/>
      <c r="F22" s="39"/>
      <c r="G22" s="39"/>
      <c r="H22" s="39"/>
      <c r="I22" s="39"/>
      <c r="J22" s="39"/>
      <c r="K22" s="39"/>
      <c r="L22" s="39"/>
      <c r="M22" s="39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3" t="s">
        <v>27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1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3" t="s">
        <v>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1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 t="s">
        <v>29</v>
      </c>
      <c r="B25" s="12"/>
      <c r="C25" s="12"/>
      <c r="D25" s="12"/>
      <c r="E25" s="12"/>
      <c r="F25" s="12"/>
      <c r="G25" s="12"/>
      <c r="H25" s="12"/>
      <c r="I25" s="12"/>
      <c r="J25" s="12"/>
      <c r="K25" s="36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7" t="s">
        <v>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33</v>
      </c>
      <c r="B30" s="45">
        <f t="shared" ref="B30:M30" si="6">SUM(B17:B29)</f>
        <v>0</v>
      </c>
      <c r="C30" s="45">
        <f t="shared" si="6"/>
        <v>0</v>
      </c>
      <c r="D30" s="45">
        <f t="shared" si="6"/>
        <v>0</v>
      </c>
      <c r="E30" s="45">
        <f t="shared" si="6"/>
        <v>0</v>
      </c>
      <c r="F30" s="45">
        <f t="shared" si="6"/>
        <v>0</v>
      </c>
      <c r="G30" s="45">
        <f t="shared" si="6"/>
        <v>0</v>
      </c>
      <c r="H30" s="45">
        <f t="shared" si="6"/>
        <v>0</v>
      </c>
      <c r="I30" s="45">
        <f t="shared" si="6"/>
        <v>0</v>
      </c>
      <c r="J30" s="45">
        <f t="shared" si="6"/>
        <v>0</v>
      </c>
      <c r="K30" s="45">
        <f t="shared" si="6"/>
        <v>0</v>
      </c>
      <c r="L30" s="45">
        <f t="shared" si="6"/>
        <v>0</v>
      </c>
      <c r="M30" s="45">
        <f t="shared" si="6"/>
        <v>0</v>
      </c>
      <c r="N30" s="46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7"/>
      <c r="F31" s="47"/>
      <c r="G31" s="47"/>
      <c r="H31" s="47"/>
      <c r="I31" s="47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34</v>
      </c>
      <c r="B32" s="9" t="s">
        <v>1</v>
      </c>
      <c r="C32" s="9" t="s">
        <v>19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8" t="s">
        <v>35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 t="s">
        <v>36</v>
      </c>
      <c r="B33" s="49">
        <f t="shared" ref="B33:M33" si="7">MINUS(B13,B30)</f>
        <v>0</v>
      </c>
      <c r="C33" s="49">
        <f t="shared" si="7"/>
        <v>0</v>
      </c>
      <c r="D33" s="49">
        <f t="shared" si="7"/>
        <v>0</v>
      </c>
      <c r="E33" s="49">
        <f t="shared" si="7"/>
        <v>0</v>
      </c>
      <c r="F33" s="49">
        <f t="shared" si="7"/>
        <v>0</v>
      </c>
      <c r="G33" s="49">
        <f t="shared" si="7"/>
        <v>0</v>
      </c>
      <c r="H33" s="49">
        <f t="shared" si="7"/>
        <v>0</v>
      </c>
      <c r="I33" s="49">
        <f t="shared" si="7"/>
        <v>0</v>
      </c>
      <c r="J33" s="49">
        <f t="shared" si="7"/>
        <v>0</v>
      </c>
      <c r="K33" s="49">
        <f t="shared" si="7"/>
        <v>0</v>
      </c>
      <c r="L33" s="49">
        <f t="shared" si="7"/>
        <v>0</v>
      </c>
      <c r="M33" s="49">
        <f t="shared" si="7"/>
        <v>0</v>
      </c>
      <c r="N33" s="50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2" t="s">
        <v>37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53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38</v>
      </c>
      <c r="B38" s="53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39</v>
      </c>
      <c r="B39" s="54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40</v>
      </c>
      <c r="B40" s="53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41</v>
      </c>
      <c r="B41" s="53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7"/>
      <c r="B47" s="5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7"/>
      <c r="B48" s="5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7"/>
      <c r="B50" s="5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7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