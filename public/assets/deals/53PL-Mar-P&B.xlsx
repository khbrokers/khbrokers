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<sst xmlns="http://schemas.openxmlformats.org/spreadsheetml/2006/main" count="330" uniqueCount="42">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</sst>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1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4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shrinkToFit="0" wrapText="0"/>
    </xf>
    <xf borderId="0" fillId="4" fontId="8" numFmtId="0" xfId="0" applyAlignment="1" applyFont="1">
      <alignment vertical="bottom"/>
    </xf>
    <xf borderId="0" fillId="5" fontId="8" numFmtId="164" xfId="0" applyAlignment="1" applyFill="1" applyFont="1" applyNumberFormat="1">
      <alignment readingOrder="0" shrinkToFit="0" wrapText="0"/>
    </xf>
    <xf borderId="0" fillId="5" fontId="8" numFmtId="164" xfId="0" applyAlignment="1" applyFont="1" applyNumberFormat="1">
      <alignment readingOrder="0" vertical="bottom"/>
    </xf>
    <xf borderId="0" fillId="6" fontId="2" numFmtId="164" xfId="0" applyAlignment="1" applyFill="1" applyFont="1" applyNumberFormat="1">
      <alignment horizontal="right" vertical="bottom"/>
    </xf>
    <xf borderId="0" fillId="6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6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9" numFmtId="164" xfId="0" applyAlignment="1" applyFont="1" applyNumberFormat="1">
      <alignment horizontal="right" vertical="bottom"/>
    </xf>
    <xf borderId="0" fillId="4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4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6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4" fontId="9" numFmtId="165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3" fontId="4" numFmtId="0" xfId="0" applyAlignment="1" applyFont="1">
      <alignment horizontal="right" readingOrder="0" vertical="bottom"/>
    </xf>
    <xf borderId="0" fillId="4" fontId="8" numFmtId="165" xfId="0" applyAlignment="1" applyFont="1" applyNumberFormat="1">
      <alignment horizontal="right" vertical="bottom"/>
    </xf>
    <xf borderId="0" fillId="4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3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6" fontId="10" numFmtId="0" xfId="0" applyAlignment="1" applyFont="1">
      <alignment vertical="bottom"/>
    </xf>
    <xf borderId="0" fillId="6" fontId="10" numFmtId="165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'2026'!$A$36:$A$40</c:f>
            </c:strRef>
          </c:cat>
          <c:val>
            <c:numRef>
              <c:f>'2026'!$B$36:$B$40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'2025'!$A$36:$A$40</c:f>
            </c:strRef>
          </c:cat>
          <c:val>
            <c:numRef>
              <c:f>'2025'!$B$36:$B$40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34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34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15360.81</v>
      </c>
      <c r="C5" s="12">
        <v>14280.2</v>
      </c>
      <c r="D5" s="13">
        <v>90971.78</v>
      </c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120612.79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4545.59</v>
      </c>
      <c r="C6" s="12">
        <v>205.1</v>
      </c>
      <c r="D6" s="13">
        <v>550.25</v>
      </c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5300.94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>
        <v>363.62</v>
      </c>
      <c r="C7" s="21">
        <v>70.2</v>
      </c>
      <c r="D7" s="21">
        <v>51.95</v>
      </c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485.77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10451.6</v>
      </c>
      <c r="C8" s="24">
        <f t="shared" si="2"/>
        <v>14004.9</v>
      </c>
      <c r="D8" s="24">
        <f t="shared" si="2"/>
        <v>90369.58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114826.08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6">
        <v>3520.11</v>
      </c>
      <c r="C12" s="26">
        <v>4126.23</v>
      </c>
      <c r="D12" s="26">
        <v>26342.67</v>
      </c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33989.01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6931.49</v>
      </c>
      <c r="C13" s="32">
        <f t="shared" si="3"/>
        <v>9878.67</v>
      </c>
      <c r="D13" s="32">
        <f t="shared" si="3"/>
        <v>64026.91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80837.07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>
        <v>0.0</v>
      </c>
      <c r="C17" s="20">
        <v>0.0</v>
      </c>
      <c r="D17" s="20">
        <v>0.0</v>
      </c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29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>
        <v>0.0</v>
      </c>
      <c r="C18" s="20">
        <v>0.0</v>
      </c>
      <c r="D18" s="20">
        <v>0.0</v>
      </c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>
        <v>5681.58</v>
      </c>
      <c r="C19" s="20">
        <v>5061.58</v>
      </c>
      <c r="D19" s="20">
        <v>40816.92</v>
      </c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51560.08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>
        <v>0.0</v>
      </c>
      <c r="C20" s="20">
        <v>0.0</v>
      </c>
      <c r="D20" s="20">
        <v>0.0</v>
      </c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>
        <v>0.0</v>
      </c>
      <c r="C21" s="20">
        <v>0.0</v>
      </c>
      <c r="D21" s="20">
        <v>0.0</v>
      </c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>
        <f t="shared" ref="B22:D22" si="6">B5*0.0349</f>
        <v>536.092269</v>
      </c>
      <c r="C22" s="20">
        <f t="shared" si="6"/>
        <v>498.37898</v>
      </c>
      <c r="D22" s="20">
        <f t="shared" si="6"/>
        <v>3174.915122</v>
      </c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4209.386371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>
        <v>0.0</v>
      </c>
      <c r="C23" s="20">
        <v>0.0</v>
      </c>
      <c r="D23" s="20">
        <v>0.0</v>
      </c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>
        <v>648.65</v>
      </c>
      <c r="C24" s="20">
        <v>543.24</v>
      </c>
      <c r="D24" s="20">
        <v>1209.84</v>
      </c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2401.73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>
        <v>0.0</v>
      </c>
      <c r="C25" s="20">
        <v>0.0</v>
      </c>
      <c r="D25" s="20">
        <v>0.0</v>
      </c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>
        <v>0.0</v>
      </c>
      <c r="C26" s="20">
        <v>0.0</v>
      </c>
      <c r="D26" s="20">
        <v>0.0</v>
      </c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32</v>
      </c>
      <c r="B27" s="20">
        <v>140.0</v>
      </c>
      <c r="C27" s="20">
        <v>20.0</v>
      </c>
      <c r="D27" s="20">
        <v>36.0</v>
      </c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196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33</v>
      </c>
      <c r="B28" s="20">
        <v>0.0</v>
      </c>
      <c r="C28" s="20">
        <v>0.0</v>
      </c>
      <c r="D28" s="20">
        <v>0.0</v>
      </c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3" t="s">
        <v>34</v>
      </c>
      <c r="B29" s="43">
        <f t="shared" ref="B29:M29" si="7">SUM(B17:B28)</f>
        <v>7006.322269</v>
      </c>
      <c r="C29" s="43">
        <f t="shared" si="7"/>
        <v>6123.19898</v>
      </c>
      <c r="D29" s="43">
        <f t="shared" si="7"/>
        <v>45237.67512</v>
      </c>
      <c r="E29" s="43">
        <f t="shared" si="7"/>
        <v>0</v>
      </c>
      <c r="F29" s="43">
        <f t="shared" si="7"/>
        <v>0</v>
      </c>
      <c r="G29" s="43">
        <f t="shared" si="7"/>
        <v>0</v>
      </c>
      <c r="H29" s="43">
        <f t="shared" si="7"/>
        <v>0</v>
      </c>
      <c r="I29" s="43">
        <f t="shared" si="7"/>
        <v>0</v>
      </c>
      <c r="J29" s="43">
        <f t="shared" si="7"/>
        <v>0</v>
      </c>
      <c r="K29" s="43">
        <f t="shared" si="7"/>
        <v>0</v>
      </c>
      <c r="L29" s="43">
        <f t="shared" si="7"/>
        <v>0</v>
      </c>
      <c r="M29" s="43">
        <f t="shared" si="7"/>
        <v>0</v>
      </c>
      <c r="N29" s="44">
        <f t="shared" si="5"/>
        <v>58367.19637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/>
      <c r="B30" s="6"/>
      <c r="C30" s="6"/>
      <c r="D30" s="6"/>
      <c r="E30" s="45"/>
      <c r="F30" s="45"/>
      <c r="G30" s="45"/>
      <c r="H30" s="45"/>
      <c r="I30" s="45"/>
      <c r="J30" s="6"/>
      <c r="K30" s="6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 t="s">
        <v>35</v>
      </c>
      <c r="B31" s="9" t="s">
        <v>1</v>
      </c>
      <c r="C31" s="9" t="s">
        <v>2</v>
      </c>
      <c r="D31" s="9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46" t="s">
        <v>36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3" t="s">
        <v>37</v>
      </c>
      <c r="B32" s="47">
        <f t="shared" ref="B32:M32" si="8">MINUS(B13,B29)</f>
        <v>-74.832269</v>
      </c>
      <c r="C32" s="47">
        <f t="shared" si="8"/>
        <v>3755.47102</v>
      </c>
      <c r="D32" s="47">
        <f t="shared" si="8"/>
        <v>18789.23488</v>
      </c>
      <c r="E32" s="47">
        <f t="shared" si="8"/>
        <v>0</v>
      </c>
      <c r="F32" s="47">
        <f t="shared" si="8"/>
        <v>0</v>
      </c>
      <c r="G32" s="47">
        <f t="shared" si="8"/>
        <v>0</v>
      </c>
      <c r="H32" s="47">
        <f t="shared" si="8"/>
        <v>0</v>
      </c>
      <c r="I32" s="47">
        <f t="shared" si="8"/>
        <v>0</v>
      </c>
      <c r="J32" s="47">
        <f t="shared" si="8"/>
        <v>0</v>
      </c>
      <c r="K32" s="47">
        <f t="shared" si="8"/>
        <v>0</v>
      </c>
      <c r="L32" s="47">
        <f t="shared" si="8"/>
        <v>0</v>
      </c>
      <c r="M32" s="47">
        <f t="shared" si="8"/>
        <v>0</v>
      </c>
      <c r="N32" s="48">
        <f>SUM(B32:M32)</f>
        <v>22469.87363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0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24</v>
      </c>
      <c r="B36" s="51">
        <f>SUM(N19)</f>
        <v>51560.08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39</v>
      </c>
      <c r="B37" s="51">
        <f>SUM(N18)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7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2">
        <f>sum(N17)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25</v>
      </c>
      <c r="B39" s="51">
        <f>SUM(N20)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26</v>
      </c>
      <c r="B40" s="51">
        <f>sum(N21)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5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5"/>
      <c r="B46" s="5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5"/>
      <c r="B49" s="5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5"/>
      <c r="B50" s="5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">
    <mergeCell ref="A35:B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>
        <v>5864.42</v>
      </c>
      <c r="J5" s="16">
        <v>160219.67</v>
      </c>
      <c r="K5" s="15">
        <v>319848.45</v>
      </c>
      <c r="L5" s="14">
        <v>855655.23</v>
      </c>
      <c r="M5" s="14">
        <v>1001268.95</v>
      </c>
      <c r="N5" s="17">
        <f t="shared" ref="N5:N8" si="1">SUM(B5:M5)</f>
        <v>2342856.72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>
        <v>0.0</v>
      </c>
      <c r="J6" s="19">
        <v>605.23</v>
      </c>
      <c r="K6" s="20">
        <v>2706.55</v>
      </c>
      <c r="L6" s="14">
        <v>6655.03</v>
      </c>
      <c r="M6" s="14">
        <v>12371.53</v>
      </c>
      <c r="N6" s="17">
        <f t="shared" si="1"/>
        <v>22338.34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2"/>
      <c r="C7" s="22"/>
      <c r="D7" s="22"/>
      <c r="E7" s="22"/>
      <c r="F7" s="22"/>
      <c r="G7" s="22"/>
      <c r="H7" s="22"/>
      <c r="I7" s="21">
        <v>42.0</v>
      </c>
      <c r="J7" s="58">
        <v>0.0</v>
      </c>
      <c r="K7" s="21">
        <v>1017.48</v>
      </c>
      <c r="L7" s="21">
        <v>929.6</v>
      </c>
      <c r="M7" s="21">
        <v>1215.53</v>
      </c>
      <c r="N7" s="17">
        <f t="shared" si="1"/>
        <v>3204.61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5822.42</v>
      </c>
      <c r="J8" s="24">
        <f t="shared" si="2"/>
        <v>159614.44</v>
      </c>
      <c r="K8" s="24">
        <f t="shared" si="2"/>
        <v>316124.42</v>
      </c>
      <c r="L8" s="24">
        <f t="shared" si="2"/>
        <v>848070.6</v>
      </c>
      <c r="M8" s="24">
        <f t="shared" si="2"/>
        <v>987681.89</v>
      </c>
      <c r="N8" s="25">
        <f t="shared" si="1"/>
        <v>2317313.77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7"/>
      <c r="C12" s="27"/>
      <c r="D12" s="27"/>
      <c r="E12" s="27"/>
      <c r="F12" s="27"/>
      <c r="G12" s="27"/>
      <c r="H12" s="28"/>
      <c r="I12" s="26">
        <v>2070.78</v>
      </c>
      <c r="J12" s="26">
        <v>57606.44</v>
      </c>
      <c r="K12" s="26">
        <v>89726.02</v>
      </c>
      <c r="L12" s="21">
        <v>250190.14</v>
      </c>
      <c r="M12" s="21">
        <v>295787.24</v>
      </c>
      <c r="N12" s="31">
        <f t="shared" ref="N12:N13" si="4">SUM(B12:M12)</f>
        <v>695380.62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0</v>
      </c>
      <c r="C13" s="32">
        <f t="shared" si="3"/>
        <v>0</v>
      </c>
      <c r="D13" s="32">
        <f t="shared" si="3"/>
        <v>0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3751.64</v>
      </c>
      <c r="J13" s="32">
        <f t="shared" si="3"/>
        <v>102008</v>
      </c>
      <c r="K13" s="32">
        <f t="shared" si="3"/>
        <v>226398.4</v>
      </c>
      <c r="L13" s="32">
        <f t="shared" si="3"/>
        <v>597880.46</v>
      </c>
      <c r="M13" s="32">
        <f t="shared" si="3"/>
        <v>691894.65</v>
      </c>
      <c r="N13" s="33">
        <f t="shared" si="4"/>
        <v>1621933.15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/>
      <c r="C17" s="20"/>
      <c r="D17" s="20"/>
      <c r="E17" s="20"/>
      <c r="F17" s="20"/>
      <c r="G17" s="20"/>
      <c r="H17" s="20"/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35">
        <f t="shared" ref="N17:N29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/>
      <c r="C18" s="20"/>
      <c r="D18" s="20"/>
      <c r="E18" s="20"/>
      <c r="F18" s="20"/>
      <c r="G18" s="20"/>
      <c r="H18" s="20"/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/>
      <c r="F19" s="20"/>
      <c r="G19" s="20"/>
      <c r="H19" s="20"/>
      <c r="I19" s="20">
        <v>2752.6</v>
      </c>
      <c r="J19" s="20">
        <v>63457.6</v>
      </c>
      <c r="K19" s="29">
        <v>136411.25</v>
      </c>
      <c r="L19" s="13">
        <v>349323.08</v>
      </c>
      <c r="M19" s="13">
        <v>437266.33</v>
      </c>
      <c r="N19" s="35">
        <f t="shared" si="5"/>
        <v>989210.86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/>
      <c r="C20" s="20"/>
      <c r="D20" s="20"/>
      <c r="E20" s="20"/>
      <c r="F20" s="20"/>
      <c r="G20" s="20"/>
      <c r="H20" s="20"/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/>
      <c r="F21" s="20"/>
      <c r="G21" s="20"/>
      <c r="H21" s="20"/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/>
      <c r="C22" s="20"/>
      <c r="D22" s="20"/>
      <c r="E22" s="20"/>
      <c r="F22" s="39"/>
      <c r="G22" s="39"/>
      <c r="H22" s="39"/>
      <c r="I22" s="39">
        <f t="shared" ref="I22:M22" si="6">I5*0.0349</f>
        <v>204.668258</v>
      </c>
      <c r="J22" s="39">
        <f t="shared" si="6"/>
        <v>5591.666483</v>
      </c>
      <c r="K22" s="39">
        <f t="shared" si="6"/>
        <v>11162.71091</v>
      </c>
      <c r="L22" s="39">
        <f t="shared" si="6"/>
        <v>29862.36753</v>
      </c>
      <c r="M22" s="39">
        <f t="shared" si="6"/>
        <v>34944.28636</v>
      </c>
      <c r="N22" s="35">
        <f t="shared" si="5"/>
        <v>81765.69953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/>
      <c r="C23" s="20"/>
      <c r="D23" s="20"/>
      <c r="E23" s="20"/>
      <c r="F23" s="20"/>
      <c r="G23" s="20"/>
      <c r="H23" s="20"/>
      <c r="I23" s="20">
        <v>0.0</v>
      </c>
      <c r="J23" s="21">
        <v>1036.55</v>
      </c>
      <c r="K23" s="21">
        <v>867.51</v>
      </c>
      <c r="L23" s="20">
        <v>0.0</v>
      </c>
      <c r="M23" s="41">
        <v>0.0</v>
      </c>
      <c r="N23" s="35">
        <f t="shared" si="5"/>
        <v>1904.06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/>
      <c r="C24" s="20"/>
      <c r="D24" s="20"/>
      <c r="E24" s="20"/>
      <c r="F24" s="20"/>
      <c r="G24" s="20"/>
      <c r="H24" s="20"/>
      <c r="I24" s="20">
        <v>65.27</v>
      </c>
      <c r="J24" s="20">
        <v>399.05</v>
      </c>
      <c r="K24" s="20">
        <v>2215.45</v>
      </c>
      <c r="L24" s="20">
        <v>3129.88</v>
      </c>
      <c r="M24" s="41">
        <v>3427.47</v>
      </c>
      <c r="N24" s="35">
        <f t="shared" si="5"/>
        <v>9237.12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/>
      <c r="C25" s="20"/>
      <c r="D25" s="20"/>
      <c r="E25" s="20"/>
      <c r="F25" s="20"/>
      <c r="G25" s="20"/>
      <c r="H25" s="20"/>
      <c r="I25" s="20">
        <v>0.0</v>
      </c>
      <c r="J25" s="20">
        <v>0.0</v>
      </c>
      <c r="K25" s="26">
        <v>110.0</v>
      </c>
      <c r="L25" s="21">
        <v>570.0</v>
      </c>
      <c r="M25" s="21">
        <v>720.0</v>
      </c>
      <c r="N25" s="35">
        <f t="shared" si="5"/>
        <v>1400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/>
      <c r="C26" s="20"/>
      <c r="D26" s="20"/>
      <c r="E26" s="20"/>
      <c r="F26" s="20"/>
      <c r="G26" s="20"/>
      <c r="H26" s="20"/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32</v>
      </c>
      <c r="B27" s="20"/>
      <c r="C27" s="20"/>
      <c r="D27" s="20"/>
      <c r="E27" s="20"/>
      <c r="F27" s="20"/>
      <c r="G27" s="20"/>
      <c r="H27" s="20"/>
      <c r="I27" s="58">
        <v>0.0</v>
      </c>
      <c r="J27" s="21">
        <v>60.0</v>
      </c>
      <c r="K27" s="21">
        <v>188.0</v>
      </c>
      <c r="L27" s="21">
        <v>260.0</v>
      </c>
      <c r="M27" s="58">
        <v>0.0</v>
      </c>
      <c r="N27" s="35">
        <f t="shared" si="5"/>
        <v>508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33</v>
      </c>
      <c r="B28" s="20"/>
      <c r="C28" s="20"/>
      <c r="D28" s="20"/>
      <c r="E28" s="20"/>
      <c r="F28" s="20"/>
      <c r="G28" s="20"/>
      <c r="H28" s="20"/>
      <c r="I28" s="20">
        <v>0.0</v>
      </c>
      <c r="J28" s="20">
        <v>0.0</v>
      </c>
      <c r="K28" s="21">
        <v>1200.0</v>
      </c>
      <c r="L28" s="21">
        <v>1000.0</v>
      </c>
      <c r="M28" s="21">
        <v>1000.0</v>
      </c>
      <c r="N28" s="35">
        <f t="shared" si="5"/>
        <v>3200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3" t="s">
        <v>34</v>
      </c>
      <c r="B29" s="43">
        <f t="shared" ref="B29:M29" si="7">SUM(B17:B28)</f>
        <v>0</v>
      </c>
      <c r="C29" s="43">
        <f t="shared" si="7"/>
        <v>0</v>
      </c>
      <c r="D29" s="43">
        <f t="shared" si="7"/>
        <v>0</v>
      </c>
      <c r="E29" s="43">
        <f t="shared" si="7"/>
        <v>0</v>
      </c>
      <c r="F29" s="43">
        <f t="shared" si="7"/>
        <v>0</v>
      </c>
      <c r="G29" s="43">
        <f t="shared" si="7"/>
        <v>0</v>
      </c>
      <c r="H29" s="43">
        <f t="shared" si="7"/>
        <v>0</v>
      </c>
      <c r="I29" s="43">
        <f t="shared" si="7"/>
        <v>3022.538258</v>
      </c>
      <c r="J29" s="43">
        <f t="shared" si="7"/>
        <v>70544.86648</v>
      </c>
      <c r="K29" s="43">
        <f t="shared" si="7"/>
        <v>152154.9209</v>
      </c>
      <c r="L29" s="43">
        <f t="shared" si="7"/>
        <v>384145.3275</v>
      </c>
      <c r="M29" s="43">
        <f t="shared" si="7"/>
        <v>477358.0864</v>
      </c>
      <c r="N29" s="44">
        <f t="shared" si="5"/>
        <v>1087225.74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/>
      <c r="B30" s="6"/>
      <c r="C30" s="6"/>
      <c r="D30" s="6"/>
      <c r="E30" s="45"/>
      <c r="F30" s="45"/>
      <c r="G30" s="45"/>
      <c r="H30" s="45"/>
      <c r="I30" s="45"/>
      <c r="J30" s="6"/>
      <c r="K30" s="6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 t="s">
        <v>35</v>
      </c>
      <c r="B31" s="9" t="s">
        <v>1</v>
      </c>
      <c r="C31" s="9" t="s">
        <v>2</v>
      </c>
      <c r="D31" s="9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46" t="s">
        <v>36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3" t="s">
        <v>37</v>
      </c>
      <c r="B32" s="47">
        <f t="shared" ref="B32:M32" si="8">MINUS(B13,B29)</f>
        <v>0</v>
      </c>
      <c r="C32" s="47">
        <f t="shared" si="8"/>
        <v>0</v>
      </c>
      <c r="D32" s="47">
        <f t="shared" si="8"/>
        <v>0</v>
      </c>
      <c r="E32" s="47">
        <f t="shared" si="8"/>
        <v>0</v>
      </c>
      <c r="F32" s="47">
        <f t="shared" si="8"/>
        <v>0</v>
      </c>
      <c r="G32" s="47">
        <f t="shared" si="8"/>
        <v>0</v>
      </c>
      <c r="H32" s="47">
        <f t="shared" si="8"/>
        <v>0</v>
      </c>
      <c r="I32" s="47">
        <f t="shared" si="8"/>
        <v>729.101742</v>
      </c>
      <c r="J32" s="47">
        <f t="shared" si="8"/>
        <v>31463.13352</v>
      </c>
      <c r="K32" s="47">
        <f t="shared" si="8"/>
        <v>74243.4791</v>
      </c>
      <c r="L32" s="47">
        <f t="shared" si="8"/>
        <v>213735.1325</v>
      </c>
      <c r="M32" s="47">
        <f t="shared" si="8"/>
        <v>214536.5636</v>
      </c>
      <c r="N32" s="48">
        <f>SUM(B32:M32)</f>
        <v>534707.4105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0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24</v>
      </c>
      <c r="B36" s="51">
        <f>SUM(N19)</f>
        <v>989210.86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39</v>
      </c>
      <c r="B37" s="51">
        <f>SUM(N18)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7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2">
        <f>sum(N17)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25</v>
      </c>
      <c r="B39" s="51">
        <f>SUM(N20)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26</v>
      </c>
      <c r="B40" s="51">
        <f>sum(N21)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5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5"/>
      <c r="B46" s="5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5"/>
      <c r="B49" s="5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5"/>
      <c r="B50" s="5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">
    <mergeCell ref="A35:B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7"/>
      <c r="C12" s="27"/>
      <c r="D12" s="27"/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0</v>
      </c>
      <c r="C13" s="32">
        <f t="shared" si="3"/>
        <v>0</v>
      </c>
      <c r="D13" s="32">
        <f t="shared" si="3"/>
        <v>0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/>
      <c r="C22" s="20"/>
      <c r="D22" s="20"/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9" t="s">
        <v>41</v>
      </c>
      <c r="B29" s="39"/>
      <c r="C29" s="39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34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35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37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39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40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7"/>
      <c r="C12" s="27"/>
      <c r="D12" s="27"/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0</v>
      </c>
      <c r="C13" s="32">
        <f t="shared" si="3"/>
        <v>0</v>
      </c>
      <c r="D13" s="32">
        <f t="shared" si="3"/>
        <v>0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/>
      <c r="C22" s="20"/>
      <c r="D22" s="20"/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9" t="s">
        <v>41</v>
      </c>
      <c r="B29" s="39"/>
      <c r="C29" s="39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34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35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37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39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40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