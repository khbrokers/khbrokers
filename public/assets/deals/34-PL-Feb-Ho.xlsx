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>
    <definedName hidden="1" localSheetId="2" name="_xlnm._FilterDatabase">'2024'!$L$21:$L$30</definedName>
    <definedName hidden="1" localSheetId="3" name="_xlnm._FilterDatabase">'2023'!$L$21:$L$30</definedName>
  </definedNames>
  <calcPr/>
</workbook>
</file>

<file path=xl/sharedStrings.xml><?xml version="1.0" encoding="utf-8"?>
<sst xmlns="http://schemas.openxmlformats.org/spreadsheetml/2006/main" count="324" uniqueCount="43">
  <si>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</si>
  <si>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</si>
  <si>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</si>
  <si>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</si>
  <si>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</si>
  <si>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</si>
  <si>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</si>
  <si>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</si>
  <si>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</si>
  <si>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</si>
  <si>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</si>
  <si>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</si>
  <si>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</si>
  <si>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</si>
  <si>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</si>
  <si>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</si>
  <si>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</si>
  <si>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</si>
  <si>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</si>
  <si>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</si>
  <si>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</si>
  <si>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</si>
  <si>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Google</t>
  </si>
  <si>
    <t>Facebook</t>
  </si>
  <si>
    <t>Processing Fees</t>
  </si>
  <si>
    <t>Google Media Buyer</t>
  </si>
  <si>
    <t xml:space="preserve">Shopify Bill </t>
  </si>
  <si>
    <t>(Klaviyo, TripleWhale)</t>
  </si>
  <si>
    <t xml:space="preserve">3rd Party Softwares </t>
  </si>
  <si>
    <t>Virtual Assistant(s)</t>
  </si>
  <si>
    <t>Email Agency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</si>
  <si>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</si>
  <si>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</si>
  <si>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</si>
  <si>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</si>
  <si>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</si>
  <si>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</si>
  <si>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</si>
  <si>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Snapchat</t>
  </si>
  <si>
    <t>Pinterest</t>
  </si>
  <si>
    <t>TikTok</t>
  </si>
  <si>
    <t>Content Costs</t>
  </si>
  <si>
    <t>*ADD MORE ROWS IF NEEDED*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</si>
</sst>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1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6" numFmtId="164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3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7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3" fontId="8" numFmtId="0" xfId="0" applyAlignment="1" applyFont="1">
      <alignment vertical="bottom"/>
    </xf>
    <xf borderId="0" fillId="4" fontId="8" numFmtId="164" xfId="0" applyAlignment="1" applyFill="1" applyFont="1" applyNumberFormat="1">
      <alignment readingOrder="0" shrinkToFit="0" wrapText="0"/>
    </xf>
    <xf borderId="0" fillId="4" fontId="8" numFmtId="164" xfId="0" applyAlignment="1" applyFont="1" applyNumberFormat="1">
      <alignment readingOrder="0" vertical="bottom"/>
    </xf>
    <xf borderId="0" fillId="5" fontId="6" numFmtId="164" xfId="0" applyAlignment="1" applyFill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/>
    </xf>
    <xf borderId="0" fillId="5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 vertical="bottom"/>
    </xf>
    <xf borderId="0" fillId="3" fontId="5" numFmtId="164" xfId="0" applyAlignment="1" applyFont="1" applyNumberFormat="1">
      <alignment horizontal="right" readingOrder="0" vertical="bottom"/>
    </xf>
    <xf borderId="0" fillId="3" fontId="9" numFmtId="164" xfId="0" applyAlignment="1" applyFont="1" applyNumberFormat="1">
      <alignment horizontal="right" vertical="bottom"/>
    </xf>
    <xf borderId="0" fillId="3" fontId="9" numFmtId="164" xfId="0" applyAlignment="1" applyFont="1" applyNumberFormat="1">
      <alignment readingOrder="0" vertical="bottom"/>
    </xf>
    <xf borderId="0" fillId="0" fontId="5" numFmtId="0" xfId="0" applyFont="1"/>
    <xf borderId="0" fillId="0" fontId="5" numFmtId="164" xfId="0" applyAlignment="1" applyFont="1" applyNumberFormat="1">
      <alignment horizontal="center" readingOrder="0" vertical="bottom"/>
    </xf>
    <xf borderId="0" fillId="3" fontId="5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readingOrder="0" vertical="bottom"/>
    </xf>
    <xf borderId="0" fillId="5" fontId="7" numFmtId="164" xfId="0" applyAlignment="1" applyFont="1" applyNumberFormat="1">
      <alignment readingOrder="0"/>
    </xf>
    <xf borderId="0" fillId="5" fontId="5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3" fontId="9" numFmtId="165" xfId="0" applyAlignment="1" applyFont="1" applyNumberFormat="1">
      <alignment horizontal="right" vertical="bottom"/>
    </xf>
    <xf borderId="0" fillId="3" fontId="9" numFmtId="165" xfId="0" applyAlignment="1" applyFont="1" applyNumberFormat="1">
      <alignment horizontal="right" readingOrder="0" vertical="bottom"/>
    </xf>
    <xf borderId="0" fillId="5" fontId="2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3" fontId="8" numFmtId="165" xfId="0" applyAlignment="1" applyFont="1" applyNumberFormat="1">
      <alignment horizontal="right" vertical="bottom"/>
    </xf>
    <xf borderId="0" fillId="3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2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5" fontId="10" numFmtId="0" xfId="0" applyAlignment="1" applyFont="1">
      <alignment vertical="bottom"/>
    </xf>
    <xf borderId="0" fillId="5" fontId="10" numFmtId="165" xfId="0" applyAlignment="1" applyFont="1" applyNumberFormat="1">
      <alignment horizontal="right" vertical="bottom"/>
    </xf>
    <xf borderId="0" fillId="5" fontId="2" numFmtId="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readingOrder="0" shrinkToFit="0" wrapText="0"/>
    </xf>
    <xf borderId="0" fillId="6" fontId="7" numFmtId="164" xfId="0" applyAlignment="1" applyFill="1" applyFont="1" applyNumberFormat="1">
      <alignment horizontal="right" readingOrder="0" shrinkToFit="0" wrapText="0"/>
    </xf>
    <xf borderId="0" fillId="6" fontId="7" numFmtId="164" xfId="0" applyAlignment="1" applyFont="1" applyNumberFormat="1">
      <alignment horizontal="right" readingOrder="0"/>
    </xf>
    <xf borderId="0" fillId="5" fontId="7" numFmtId="164" xfId="0" applyAlignment="1" applyFont="1" applyNumberFormat="1">
      <alignment horizontal="right" readingOrder="0"/>
    </xf>
    <xf borderId="0" fillId="5" fontId="6" numFmtId="164" xfId="0" applyAlignment="1" applyFont="1" applyNumberFormat="1">
      <alignment horizontal="right" readingOrder="0"/>
    </xf>
    <xf borderId="0" fillId="5" fontId="7" numFmtId="164" xfId="0" applyAlignment="1" applyFont="1" applyNumberFormat="1">
      <alignment readingOrder="0" shrinkToFit="0" wrapText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'2026'!$A$33:$A$37</c:f>
            </c:strRef>
          </c:cat>
          <c:val>
            <c:numRef>
              <c:f>'2026'!$B$33:$B$37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'2025'!$A$33:$A$37</c:f>
            </c:strRef>
          </c:cat>
          <c:val>
            <c:numRef>
              <c:f>'2025'!$B$33:$B$37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31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16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31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16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2026.0</v>
      </c>
      <c r="C3" s="7">
        <v>2026.0</v>
      </c>
      <c r="D3" s="7">
        <v>2026.0</v>
      </c>
      <c r="E3" s="7">
        <v>2026.0</v>
      </c>
      <c r="F3" s="7">
        <v>2026.0</v>
      </c>
      <c r="G3" s="7">
        <v>2026.0</v>
      </c>
      <c r="H3" s="7">
        <v>2026.0</v>
      </c>
      <c r="I3" s="7">
        <v>2026.0</v>
      </c>
      <c r="J3" s="7">
        <v>2026.0</v>
      </c>
      <c r="K3" s="7">
        <v>2026.0</v>
      </c>
      <c r="L3" s="7">
        <v>2026.0</v>
      </c>
      <c r="M3" s="7">
        <v>2026.0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11628.34</v>
      </c>
      <c r="C5" s="12">
        <v>8961.07</v>
      </c>
      <c r="D5" s="13"/>
      <c r="E5" s="14"/>
      <c r="F5" s="14"/>
      <c r="G5" s="15"/>
      <c r="H5" s="16"/>
      <c r="I5" s="16"/>
      <c r="J5" s="17"/>
      <c r="K5" s="16"/>
      <c r="L5" s="15"/>
      <c r="M5" s="15"/>
      <c r="N5" s="18">
        <f t="shared" ref="N5:N8" si="1">SUM(B5:M5)</f>
        <v>20589.41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>
        <v>2705.8</v>
      </c>
      <c r="C6" s="12">
        <v>1706.86</v>
      </c>
      <c r="D6" s="13"/>
      <c r="E6" s="14"/>
      <c r="F6" s="13"/>
      <c r="G6" s="14"/>
      <c r="H6" s="15"/>
      <c r="I6" s="15"/>
      <c r="J6" s="20"/>
      <c r="K6" s="12"/>
      <c r="L6" s="15"/>
      <c r="M6" s="15"/>
      <c r="N6" s="18">
        <f t="shared" si="1"/>
        <v>4412.66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1">
        <v>0.0</v>
      </c>
      <c r="C7" s="21">
        <v>0.0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8922.54</v>
      </c>
      <c r="C8" s="23">
        <f t="shared" si="2"/>
        <v>7254.21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16176.75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2026.0</v>
      </c>
      <c r="C10" s="7">
        <v>2026.0</v>
      </c>
      <c r="D10" s="7">
        <v>2026.0</v>
      </c>
      <c r="E10" s="7">
        <v>2026.0</v>
      </c>
      <c r="F10" s="7">
        <v>2026.0</v>
      </c>
      <c r="G10" s="7">
        <v>2026.0</v>
      </c>
      <c r="H10" s="7">
        <v>2026.0</v>
      </c>
      <c r="I10" s="7">
        <v>2026.0</v>
      </c>
      <c r="J10" s="7">
        <v>2026.0</v>
      </c>
      <c r="K10" s="7">
        <v>2026.0</v>
      </c>
      <c r="L10" s="7">
        <v>2026.0</v>
      </c>
      <c r="M10" s="7">
        <v>2026.0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25">
        <v>2799.1</v>
      </c>
      <c r="C12" s="25">
        <v>2520.44</v>
      </c>
      <c r="D12" s="25"/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5319.54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6123.44</v>
      </c>
      <c r="C13" s="30">
        <f t="shared" si="3"/>
        <v>4733.77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10857.21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2026.0</v>
      </c>
      <c r="C15" s="7">
        <v>2026.0</v>
      </c>
      <c r="D15" s="7">
        <v>2026.0</v>
      </c>
      <c r="E15" s="7">
        <v>2026.0</v>
      </c>
      <c r="F15" s="7">
        <v>2026.0</v>
      </c>
      <c r="G15" s="7">
        <v>2026.0</v>
      </c>
      <c r="H15" s="7">
        <v>2026.0</v>
      </c>
      <c r="I15" s="7">
        <v>2026.0</v>
      </c>
      <c r="J15" s="7">
        <v>2026.0</v>
      </c>
      <c r="K15" s="7">
        <v>2026.0</v>
      </c>
      <c r="L15" s="7">
        <v>2026.0</v>
      </c>
      <c r="M15" s="7">
        <v>2026.0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33">
        <v>3424.04</v>
      </c>
      <c r="C17" s="33">
        <v>1905.61</v>
      </c>
      <c r="D17" s="12"/>
      <c r="E17" s="12"/>
      <c r="F17" s="12"/>
      <c r="G17" s="12"/>
      <c r="H17" s="12"/>
      <c r="I17" s="12"/>
      <c r="J17" s="12"/>
      <c r="K17" s="27"/>
      <c r="L17" s="13"/>
      <c r="M17" s="13"/>
      <c r="N17" s="34">
        <f t="shared" ref="N17:N26" si="5">SUM(B17:M17)</f>
        <v>5329.65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5" t="s">
        <v>23</v>
      </c>
      <c r="B18" s="33">
        <v>0.0</v>
      </c>
      <c r="C18" s="33">
        <v>0.0</v>
      </c>
      <c r="D18" s="12"/>
      <c r="E18" s="12"/>
      <c r="F18" s="12"/>
      <c r="G18" s="12"/>
      <c r="H18" s="12"/>
      <c r="I18" s="12"/>
      <c r="J18" s="12"/>
      <c r="K18" s="27"/>
      <c r="L18" s="13"/>
      <c r="M18" s="13"/>
      <c r="N18" s="34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6" t="s">
        <v>24</v>
      </c>
      <c r="B19" s="33">
        <f t="shared" ref="B19:C19" si="6">B5*0.0455</f>
        <v>529.08947</v>
      </c>
      <c r="C19" s="33">
        <f t="shared" si="6"/>
        <v>407.728685</v>
      </c>
      <c r="D19" s="12"/>
      <c r="E19" s="12"/>
      <c r="F19" s="37"/>
      <c r="G19" s="37"/>
      <c r="H19" s="37"/>
      <c r="I19" s="38"/>
      <c r="J19" s="37"/>
      <c r="K19" s="37"/>
      <c r="L19" s="37"/>
      <c r="M19" s="37"/>
      <c r="N19" s="34">
        <f t="shared" si="5"/>
        <v>936.818155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9" t="s">
        <v>25</v>
      </c>
      <c r="B20" s="33">
        <v>342.6</v>
      </c>
      <c r="C20" s="33">
        <v>185.88</v>
      </c>
      <c r="D20" s="12"/>
      <c r="E20" s="12"/>
      <c r="F20" s="12"/>
      <c r="G20" s="12"/>
      <c r="H20" s="12"/>
      <c r="I20" s="12"/>
      <c r="J20" s="12"/>
      <c r="K20" s="12"/>
      <c r="L20" s="12"/>
      <c r="M20" s="40"/>
      <c r="N20" s="34">
        <f t="shared" si="5"/>
        <v>528.48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9" t="s">
        <v>26</v>
      </c>
      <c r="B21" s="33">
        <v>208.48</v>
      </c>
      <c r="C21" s="33">
        <v>145.98</v>
      </c>
      <c r="D21" s="12"/>
      <c r="E21" s="12"/>
      <c r="F21" s="12"/>
      <c r="G21" s="12"/>
      <c r="H21" s="12"/>
      <c r="I21" s="12"/>
      <c r="J21" s="12"/>
      <c r="K21" s="12"/>
      <c r="L21" s="12"/>
      <c r="M21" s="40"/>
      <c r="N21" s="34">
        <f t="shared" si="5"/>
        <v>354.46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9" t="s">
        <v>27</v>
      </c>
      <c r="B22" s="41">
        <v>60.0</v>
      </c>
      <c r="C22" s="41">
        <v>60.0</v>
      </c>
      <c r="D22" s="12"/>
      <c r="E22" s="12"/>
      <c r="F22" s="12"/>
      <c r="G22" s="12"/>
      <c r="H22" s="12"/>
      <c r="I22" s="12"/>
      <c r="J22" s="12"/>
      <c r="K22" s="27"/>
      <c r="L22" s="13"/>
      <c r="M22" s="13"/>
      <c r="N22" s="34">
        <f t="shared" si="5"/>
        <v>120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2" t="s">
        <v>28</v>
      </c>
      <c r="B23" s="33">
        <v>116.0</v>
      </c>
      <c r="C23" s="33">
        <v>116.0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34">
        <f t="shared" si="5"/>
        <v>232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6" t="s">
        <v>29</v>
      </c>
      <c r="B24" s="33">
        <v>0.0</v>
      </c>
      <c r="C24" s="33">
        <v>0.0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34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5" t="s">
        <v>30</v>
      </c>
      <c r="B25" s="33">
        <v>0.0</v>
      </c>
      <c r="C25" s="33">
        <v>0.0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34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2" t="s">
        <v>31</v>
      </c>
      <c r="B26" s="43">
        <f t="shared" ref="B26:M26" si="7">SUM(B17:B25)</f>
        <v>4680.20947</v>
      </c>
      <c r="C26" s="43">
        <f t="shared" si="7"/>
        <v>2821.198685</v>
      </c>
      <c r="D26" s="43">
        <f t="shared" si="7"/>
        <v>0</v>
      </c>
      <c r="E26" s="43">
        <f t="shared" si="7"/>
        <v>0</v>
      </c>
      <c r="F26" s="43">
        <f t="shared" si="7"/>
        <v>0</v>
      </c>
      <c r="G26" s="43">
        <f t="shared" si="7"/>
        <v>0</v>
      </c>
      <c r="H26" s="43">
        <f t="shared" si="7"/>
        <v>0</v>
      </c>
      <c r="I26" s="43">
        <f t="shared" si="7"/>
        <v>0</v>
      </c>
      <c r="J26" s="43">
        <f t="shared" si="7"/>
        <v>0</v>
      </c>
      <c r="K26" s="43">
        <f t="shared" si="7"/>
        <v>0</v>
      </c>
      <c r="L26" s="43">
        <f t="shared" si="7"/>
        <v>0</v>
      </c>
      <c r="M26" s="43">
        <f t="shared" si="7"/>
        <v>0</v>
      </c>
      <c r="N26" s="44">
        <f t="shared" si="5"/>
        <v>7501.408155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"/>
      <c r="B27" s="6"/>
      <c r="C27" s="6"/>
      <c r="D27" s="6"/>
      <c r="E27" s="45"/>
      <c r="F27" s="45"/>
      <c r="G27" s="45"/>
      <c r="H27" s="45"/>
      <c r="I27" s="45"/>
      <c r="J27" s="6"/>
      <c r="K27" s="6"/>
      <c r="L27" s="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8" t="s">
        <v>32</v>
      </c>
      <c r="B28" s="9" t="s">
        <v>1</v>
      </c>
      <c r="C28" s="9" t="s">
        <v>2</v>
      </c>
      <c r="D28" s="9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9</v>
      </c>
      <c r="K28" s="8" t="s">
        <v>10</v>
      </c>
      <c r="L28" s="8" t="s">
        <v>11</v>
      </c>
      <c r="M28" s="8" t="s">
        <v>12</v>
      </c>
      <c r="N28" s="46" t="s">
        <v>33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2" t="s">
        <v>34</v>
      </c>
      <c r="B29" s="47">
        <f t="shared" ref="B29:M29" si="8">MINUS(B13,B26)</f>
        <v>1443.23053</v>
      </c>
      <c r="C29" s="47">
        <f t="shared" si="8"/>
        <v>1912.571315</v>
      </c>
      <c r="D29" s="47">
        <f t="shared" si="8"/>
        <v>0</v>
      </c>
      <c r="E29" s="47">
        <f t="shared" si="8"/>
        <v>0</v>
      </c>
      <c r="F29" s="47">
        <f t="shared" si="8"/>
        <v>0</v>
      </c>
      <c r="G29" s="47">
        <f t="shared" si="8"/>
        <v>0</v>
      </c>
      <c r="H29" s="47">
        <f t="shared" si="8"/>
        <v>0</v>
      </c>
      <c r="I29" s="47">
        <f t="shared" si="8"/>
        <v>0</v>
      </c>
      <c r="J29" s="47">
        <f t="shared" si="8"/>
        <v>0</v>
      </c>
      <c r="K29" s="47">
        <f t="shared" si="8"/>
        <v>0</v>
      </c>
      <c r="L29" s="47">
        <f t="shared" si="8"/>
        <v>0</v>
      </c>
      <c r="M29" s="47">
        <f t="shared" si="8"/>
        <v>0</v>
      </c>
      <c r="N29" s="48">
        <f>SUM(B29:M29)</f>
        <v>3355.801845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0" t="s">
        <v>35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23</v>
      </c>
      <c r="B33" s="51">
        <f>SUM(N18)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7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36</v>
      </c>
      <c r="B34" s="51">
        <f>SUM(N17)</f>
        <v>5329.65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7"/>
      <c r="N34" s="7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37</v>
      </c>
      <c r="B35" s="52" t="str">
        <f>sum(#REF!)</f>
        <v>#REF!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7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38</v>
      </c>
      <c r="B36" s="51" t="str">
        <f>SUM(#REF!)</f>
        <v>#REF!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 t="s">
        <v>39</v>
      </c>
      <c r="B37" s="51" t="str">
        <f>sum(#REF!)</f>
        <v>#REF!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5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5"/>
      <c r="B43" s="5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5"/>
      <c r="B44" s="5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6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5"/>
      <c r="B46" s="5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4"/>
      <c r="D5" s="13"/>
      <c r="E5" s="14"/>
      <c r="F5" s="12">
        <v>353.6</v>
      </c>
      <c r="G5" s="58">
        <v>2529.42</v>
      </c>
      <c r="H5" s="38">
        <v>12393.96</v>
      </c>
      <c r="I5" s="38">
        <v>37777.42</v>
      </c>
      <c r="J5" s="38">
        <v>56259.56</v>
      </c>
      <c r="K5" s="38">
        <v>63231.28</v>
      </c>
      <c r="L5" s="58">
        <v>61981.67</v>
      </c>
      <c r="M5" s="58">
        <v>20136.26</v>
      </c>
      <c r="N5" s="18">
        <f t="shared" ref="N5:N8" si="1">SUM(B5:M5)</f>
        <v>254663.17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14"/>
      <c r="D6" s="13"/>
      <c r="E6" s="14"/>
      <c r="F6" s="13">
        <v>73.39</v>
      </c>
      <c r="G6" s="12">
        <v>270.76</v>
      </c>
      <c r="H6" s="58">
        <v>552.56</v>
      </c>
      <c r="I6" s="58">
        <v>1013.37</v>
      </c>
      <c r="J6" s="11">
        <v>2201.07</v>
      </c>
      <c r="K6" s="12">
        <v>4050.39</v>
      </c>
      <c r="L6" s="58">
        <v>3209.19</v>
      </c>
      <c r="M6" s="58">
        <v>3727.99</v>
      </c>
      <c r="N6" s="18">
        <f t="shared" si="1"/>
        <v>15098.72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1"/>
      <c r="C7" s="21"/>
      <c r="D7" s="21"/>
      <c r="E7" s="21"/>
      <c r="F7" s="21">
        <v>0.0</v>
      </c>
      <c r="G7" s="21">
        <v>0.0</v>
      </c>
      <c r="H7" s="21">
        <v>0.0</v>
      </c>
      <c r="I7" s="21">
        <v>0.0</v>
      </c>
      <c r="J7" s="21">
        <v>0.0</v>
      </c>
      <c r="K7" s="21">
        <v>0.0</v>
      </c>
      <c r="L7" s="21">
        <v>0.0</v>
      </c>
      <c r="M7" s="21">
        <v>0.0</v>
      </c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280.21</v>
      </c>
      <c r="G8" s="23">
        <f t="shared" si="2"/>
        <v>2258.66</v>
      </c>
      <c r="H8" s="23">
        <f t="shared" si="2"/>
        <v>11841.4</v>
      </c>
      <c r="I8" s="23">
        <f t="shared" si="2"/>
        <v>36764.05</v>
      </c>
      <c r="J8" s="23">
        <f t="shared" si="2"/>
        <v>54058.49</v>
      </c>
      <c r="K8" s="23">
        <f t="shared" si="2"/>
        <v>59180.89</v>
      </c>
      <c r="L8" s="23">
        <f t="shared" si="2"/>
        <v>58772.48</v>
      </c>
      <c r="M8" s="23">
        <f t="shared" si="2"/>
        <v>16408.27</v>
      </c>
      <c r="N8" s="24">
        <f t="shared" si="1"/>
        <v>239564.45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25"/>
      <c r="C12" s="25"/>
      <c r="D12" s="25"/>
      <c r="E12" s="25"/>
      <c r="F12" s="25">
        <v>52.0</v>
      </c>
      <c r="G12" s="25">
        <v>764.44</v>
      </c>
      <c r="H12" s="26">
        <v>4930.58</v>
      </c>
      <c r="I12" s="25">
        <v>11818.21</v>
      </c>
      <c r="J12" s="25">
        <v>17109.88</v>
      </c>
      <c r="K12" s="27">
        <v>19686.47</v>
      </c>
      <c r="L12" s="13">
        <v>20893.52</v>
      </c>
      <c r="M12" s="28">
        <v>5291.74</v>
      </c>
      <c r="N12" s="29">
        <f t="shared" ref="N12:N13" si="4">SUM(B12:M12)</f>
        <v>80546.84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228.21</v>
      </c>
      <c r="G13" s="30">
        <f t="shared" si="3"/>
        <v>1494.22</v>
      </c>
      <c r="H13" s="30">
        <f t="shared" si="3"/>
        <v>6910.82</v>
      </c>
      <c r="I13" s="30">
        <f t="shared" si="3"/>
        <v>24945.84</v>
      </c>
      <c r="J13" s="30">
        <f t="shared" si="3"/>
        <v>36948.61</v>
      </c>
      <c r="K13" s="30">
        <f t="shared" si="3"/>
        <v>39494.42</v>
      </c>
      <c r="L13" s="30">
        <f t="shared" si="3"/>
        <v>37878.96</v>
      </c>
      <c r="M13" s="30">
        <f t="shared" si="3"/>
        <v>11116.53</v>
      </c>
      <c r="N13" s="31">
        <f t="shared" si="4"/>
        <v>159017.61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12"/>
      <c r="C17" s="12"/>
      <c r="D17" s="12"/>
      <c r="E17" s="12"/>
      <c r="F17" s="12">
        <v>203.02</v>
      </c>
      <c r="G17" s="12">
        <v>1817.97</v>
      </c>
      <c r="H17" s="12">
        <v>3859.43</v>
      </c>
      <c r="I17" s="12">
        <v>11827.59</v>
      </c>
      <c r="J17" s="12">
        <v>20546.05</v>
      </c>
      <c r="K17" s="27">
        <v>24664.63</v>
      </c>
      <c r="L17" s="13">
        <v>24009.42</v>
      </c>
      <c r="M17" s="13">
        <v>8181.75</v>
      </c>
      <c r="N17" s="34">
        <f t="shared" ref="N17:N26" si="5">SUM(B17:M17)</f>
        <v>95109.86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5" t="s">
        <v>23</v>
      </c>
      <c r="B18" s="12"/>
      <c r="C18" s="12"/>
      <c r="D18" s="12"/>
      <c r="E18" s="12"/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34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6" t="s">
        <v>24</v>
      </c>
      <c r="B19" s="12"/>
      <c r="C19" s="12"/>
      <c r="D19" s="12"/>
      <c r="E19" s="12"/>
      <c r="F19" s="37">
        <f t="shared" ref="F19:M19" si="6">F5*0.0455</f>
        <v>16.0888</v>
      </c>
      <c r="G19" s="37">
        <f t="shared" si="6"/>
        <v>115.08861</v>
      </c>
      <c r="H19" s="37">
        <f t="shared" si="6"/>
        <v>563.92518</v>
      </c>
      <c r="I19" s="37">
        <f t="shared" si="6"/>
        <v>1718.87261</v>
      </c>
      <c r="J19" s="37">
        <f t="shared" si="6"/>
        <v>2559.80998</v>
      </c>
      <c r="K19" s="37">
        <f t="shared" si="6"/>
        <v>2877.02324</v>
      </c>
      <c r="L19" s="37">
        <f t="shared" si="6"/>
        <v>2820.165985</v>
      </c>
      <c r="M19" s="37">
        <f t="shared" si="6"/>
        <v>916.19983</v>
      </c>
      <c r="N19" s="34">
        <f t="shared" si="5"/>
        <v>11587.17424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9" t="s">
        <v>25</v>
      </c>
      <c r="B20" s="12"/>
      <c r="C20" s="12"/>
      <c r="D20" s="12"/>
      <c r="E20" s="12"/>
      <c r="F20" s="12">
        <v>15.94</v>
      </c>
      <c r="G20" s="12">
        <v>170.88</v>
      </c>
      <c r="H20" s="12">
        <v>390.51</v>
      </c>
      <c r="I20" s="12">
        <v>1180.57</v>
      </c>
      <c r="J20" s="12">
        <v>2030.67</v>
      </c>
      <c r="K20" s="12">
        <v>2449.1</v>
      </c>
      <c r="L20" s="12">
        <v>2407.75</v>
      </c>
      <c r="M20" s="40">
        <v>811.87</v>
      </c>
      <c r="N20" s="34">
        <f t="shared" si="5"/>
        <v>9457.29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9" t="s">
        <v>26</v>
      </c>
      <c r="B21" s="12"/>
      <c r="C21" s="12"/>
      <c r="D21" s="12"/>
      <c r="E21" s="12"/>
      <c r="F21" s="12">
        <v>33.0</v>
      </c>
      <c r="G21" s="12">
        <v>33.0</v>
      </c>
      <c r="H21" s="12">
        <v>47.98</v>
      </c>
      <c r="I21" s="12">
        <v>129.52</v>
      </c>
      <c r="J21" s="12">
        <v>142.42</v>
      </c>
      <c r="K21" s="12">
        <v>530.98</v>
      </c>
      <c r="L21" s="12">
        <v>141.34</v>
      </c>
      <c r="M21" s="40">
        <v>308.48</v>
      </c>
      <c r="N21" s="34">
        <f t="shared" si="5"/>
        <v>1366.72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9" t="s">
        <v>27</v>
      </c>
      <c r="B22" s="12"/>
      <c r="C22" s="12"/>
      <c r="D22" s="12"/>
      <c r="E22" s="12"/>
      <c r="F22" s="12">
        <v>45.0</v>
      </c>
      <c r="G22" s="12">
        <v>45.0</v>
      </c>
      <c r="H22" s="12">
        <v>45.0</v>
      </c>
      <c r="I22" s="12">
        <v>45.0</v>
      </c>
      <c r="J22" s="12">
        <v>45.0</v>
      </c>
      <c r="K22" s="27">
        <v>60.0</v>
      </c>
      <c r="L22" s="27">
        <v>60.0</v>
      </c>
      <c r="M22" s="27">
        <v>60.0</v>
      </c>
      <c r="N22" s="34">
        <f t="shared" si="5"/>
        <v>405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2" t="s">
        <v>28</v>
      </c>
      <c r="B23" s="12"/>
      <c r="C23" s="12"/>
      <c r="D23" s="12"/>
      <c r="E23" s="12"/>
      <c r="F23" s="12">
        <v>116.0</v>
      </c>
      <c r="G23" s="12">
        <v>116.0</v>
      </c>
      <c r="H23" s="12">
        <v>116.0</v>
      </c>
      <c r="I23" s="12">
        <v>116.0</v>
      </c>
      <c r="J23" s="12">
        <v>116.0</v>
      </c>
      <c r="K23" s="12">
        <v>116.0</v>
      </c>
      <c r="L23" s="12">
        <v>116.0</v>
      </c>
      <c r="M23" s="12">
        <v>116.0</v>
      </c>
      <c r="N23" s="34">
        <f t="shared" si="5"/>
        <v>928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6" t="s">
        <v>29</v>
      </c>
      <c r="B24" s="12"/>
      <c r="C24" s="12"/>
      <c r="D24" s="12"/>
      <c r="E24" s="12"/>
      <c r="F24" s="12">
        <v>0.0</v>
      </c>
      <c r="G24" s="12">
        <v>0.0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0.0</v>
      </c>
      <c r="N24" s="34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5" t="s">
        <v>30</v>
      </c>
      <c r="B25" s="12"/>
      <c r="C25" s="12"/>
      <c r="D25" s="12"/>
      <c r="E25" s="12"/>
      <c r="F25" s="12">
        <v>0.0</v>
      </c>
      <c r="G25" s="12">
        <v>0.0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34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2" t="s">
        <v>31</v>
      </c>
      <c r="B26" s="43">
        <f t="shared" ref="B26:M26" si="7">SUM(B17:B25)</f>
        <v>0</v>
      </c>
      <c r="C26" s="43">
        <f t="shared" si="7"/>
        <v>0</v>
      </c>
      <c r="D26" s="43">
        <f t="shared" si="7"/>
        <v>0</v>
      </c>
      <c r="E26" s="43">
        <f t="shared" si="7"/>
        <v>0</v>
      </c>
      <c r="F26" s="43">
        <f t="shared" si="7"/>
        <v>429.0488</v>
      </c>
      <c r="G26" s="43">
        <f t="shared" si="7"/>
        <v>2297.93861</v>
      </c>
      <c r="H26" s="43">
        <f t="shared" si="7"/>
        <v>5022.84518</v>
      </c>
      <c r="I26" s="43">
        <f t="shared" si="7"/>
        <v>15017.55261</v>
      </c>
      <c r="J26" s="43">
        <f t="shared" si="7"/>
        <v>25439.94998</v>
      </c>
      <c r="K26" s="43">
        <f t="shared" si="7"/>
        <v>30697.73324</v>
      </c>
      <c r="L26" s="43">
        <f t="shared" si="7"/>
        <v>29554.67599</v>
      </c>
      <c r="M26" s="43">
        <f t="shared" si="7"/>
        <v>10394.29983</v>
      </c>
      <c r="N26" s="44">
        <f t="shared" si="5"/>
        <v>118854.0442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"/>
      <c r="B27" s="6"/>
      <c r="C27" s="6"/>
      <c r="D27" s="6"/>
      <c r="E27" s="45"/>
      <c r="F27" s="45"/>
      <c r="G27" s="45"/>
      <c r="H27" s="45"/>
      <c r="I27" s="45"/>
      <c r="J27" s="6"/>
      <c r="K27" s="6"/>
      <c r="L27" s="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8" t="s">
        <v>32</v>
      </c>
      <c r="B28" s="9" t="s">
        <v>1</v>
      </c>
      <c r="C28" s="9" t="s">
        <v>2</v>
      </c>
      <c r="D28" s="9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9</v>
      </c>
      <c r="K28" s="8" t="s">
        <v>10</v>
      </c>
      <c r="L28" s="8" t="s">
        <v>11</v>
      </c>
      <c r="M28" s="8" t="s">
        <v>12</v>
      </c>
      <c r="N28" s="46" t="s">
        <v>33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2" t="s">
        <v>34</v>
      </c>
      <c r="B29" s="47">
        <f t="shared" ref="B29:M29" si="8">MINUS(B13,B26)</f>
        <v>0</v>
      </c>
      <c r="C29" s="47">
        <f t="shared" si="8"/>
        <v>0</v>
      </c>
      <c r="D29" s="47">
        <f t="shared" si="8"/>
        <v>0</v>
      </c>
      <c r="E29" s="47">
        <f t="shared" si="8"/>
        <v>0</v>
      </c>
      <c r="F29" s="47">
        <f t="shared" si="8"/>
        <v>-200.8388</v>
      </c>
      <c r="G29" s="47">
        <f t="shared" si="8"/>
        <v>-803.71861</v>
      </c>
      <c r="H29" s="47">
        <f t="shared" si="8"/>
        <v>1887.97482</v>
      </c>
      <c r="I29" s="47">
        <f t="shared" si="8"/>
        <v>9928.28739</v>
      </c>
      <c r="J29" s="47">
        <f t="shared" si="8"/>
        <v>11508.66002</v>
      </c>
      <c r="K29" s="47">
        <f t="shared" si="8"/>
        <v>8796.68676</v>
      </c>
      <c r="L29" s="47">
        <f t="shared" si="8"/>
        <v>8324.284015</v>
      </c>
      <c r="M29" s="47">
        <f t="shared" si="8"/>
        <v>722.23017</v>
      </c>
      <c r="N29" s="48">
        <f>SUM(B29:M29)</f>
        <v>40163.56577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0" t="s">
        <v>35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23</v>
      </c>
      <c r="B33" s="51">
        <f>SUM(N18)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7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36</v>
      </c>
      <c r="B34" s="51">
        <f>SUM(N17)</f>
        <v>95109.86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7"/>
      <c r="N34" s="7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37</v>
      </c>
      <c r="B35" s="52" t="str">
        <f>sum(#REF!)</f>
        <v>#REF!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7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38</v>
      </c>
      <c r="B36" s="51" t="str">
        <f>SUM(#REF!)</f>
        <v>#REF!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 t="s">
        <v>39</v>
      </c>
      <c r="B37" s="51" t="str">
        <f>sum(#REF!)</f>
        <v>#REF!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5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5"/>
      <c r="B43" s="5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5"/>
      <c r="B44" s="5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6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5"/>
      <c r="B46" s="5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mergeCells count="1">
    <mergeCell ref="A32:B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25"/>
      <c r="D5" s="13"/>
      <c r="E5" s="25"/>
      <c r="F5" s="25"/>
      <c r="G5" s="59"/>
      <c r="H5" s="60"/>
      <c r="I5" s="61"/>
      <c r="J5" s="62"/>
      <c r="K5" s="60"/>
      <c r="L5" s="59"/>
      <c r="M5" s="59"/>
      <c r="N5" s="18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25"/>
      <c r="D6" s="13"/>
      <c r="E6" s="25"/>
      <c r="F6" s="13"/>
      <c r="G6" s="25"/>
      <c r="H6" s="59"/>
      <c r="I6" s="59"/>
      <c r="J6" s="63"/>
      <c r="K6" s="27"/>
      <c r="L6" s="59"/>
      <c r="M6" s="59"/>
      <c r="N6" s="18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25"/>
      <c r="C12" s="25"/>
      <c r="D12" s="25"/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9" t="s">
        <v>40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34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2" t="s">
        <v>22</v>
      </c>
      <c r="B18" s="12"/>
      <c r="C18" s="12"/>
      <c r="D18" s="12"/>
      <c r="E18" s="12"/>
      <c r="F18" s="12"/>
      <c r="G18" s="12"/>
      <c r="H18" s="12"/>
      <c r="I18" s="12"/>
      <c r="J18" s="12"/>
      <c r="K18" s="27"/>
      <c r="L18" s="13"/>
      <c r="M18" s="13"/>
      <c r="N18" s="34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23</v>
      </c>
      <c r="B19" s="12"/>
      <c r="C19" s="12"/>
      <c r="D19" s="12"/>
      <c r="E19" s="12"/>
      <c r="F19" s="12"/>
      <c r="G19" s="12"/>
      <c r="H19" s="12"/>
      <c r="I19" s="12"/>
      <c r="J19" s="12"/>
      <c r="K19" s="27"/>
      <c r="L19" s="13"/>
      <c r="M19" s="13"/>
      <c r="N19" s="34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2" t="s">
        <v>38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4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39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34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24</v>
      </c>
      <c r="B22" s="12"/>
      <c r="C22" s="12"/>
      <c r="D22" s="12"/>
      <c r="E22" s="12"/>
      <c r="F22" s="37"/>
      <c r="G22" s="37"/>
      <c r="H22" s="37"/>
      <c r="I22" s="37"/>
      <c r="J22" s="37"/>
      <c r="K22" s="37"/>
      <c r="L22" s="37"/>
      <c r="M22" s="37"/>
      <c r="N22" s="34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9" t="s">
        <v>41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40"/>
      <c r="N23" s="34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9" t="s">
        <v>26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40"/>
      <c r="N24" s="34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9" t="s">
        <v>27</v>
      </c>
      <c r="B25" s="12"/>
      <c r="C25" s="12"/>
      <c r="D25" s="12"/>
      <c r="E25" s="12"/>
      <c r="F25" s="12"/>
      <c r="G25" s="12"/>
      <c r="H25" s="12"/>
      <c r="I25" s="12"/>
      <c r="J25" s="12"/>
      <c r="K25" s="27"/>
      <c r="L25" s="13"/>
      <c r="M25" s="13"/>
      <c r="N25" s="34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28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34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29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34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34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4" t="s">
        <v>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4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31</v>
      </c>
      <c r="B30" s="43">
        <f t="shared" ref="B30:M30" si="6">SUM(B17:B29)</f>
        <v>0</v>
      </c>
      <c r="C30" s="43">
        <f t="shared" si="6"/>
        <v>0</v>
      </c>
      <c r="D30" s="43">
        <f t="shared" si="6"/>
        <v>0</v>
      </c>
      <c r="E30" s="43">
        <f t="shared" si="6"/>
        <v>0</v>
      </c>
      <c r="F30" s="43">
        <f t="shared" si="6"/>
        <v>0</v>
      </c>
      <c r="G30" s="43">
        <f t="shared" si="6"/>
        <v>0</v>
      </c>
      <c r="H30" s="43">
        <f t="shared" si="6"/>
        <v>0</v>
      </c>
      <c r="I30" s="43">
        <f t="shared" si="6"/>
        <v>0</v>
      </c>
      <c r="J30" s="43">
        <f t="shared" si="6"/>
        <v>0</v>
      </c>
      <c r="K30" s="43">
        <f t="shared" si="6"/>
        <v>0</v>
      </c>
      <c r="L30" s="43">
        <f t="shared" si="6"/>
        <v>0</v>
      </c>
      <c r="M30" s="43">
        <f t="shared" si="6"/>
        <v>0</v>
      </c>
      <c r="N30" s="44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32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34</v>
      </c>
      <c r="B33" s="47">
        <f t="shared" ref="B33:M33" si="7">MINUS(B13,B30)</f>
        <v>0</v>
      </c>
      <c r="C33" s="47">
        <f t="shared" si="7"/>
        <v>0</v>
      </c>
      <c r="D33" s="47">
        <f t="shared" si="7"/>
        <v>0</v>
      </c>
      <c r="E33" s="47">
        <f t="shared" si="7"/>
        <v>0</v>
      </c>
      <c r="F33" s="47">
        <f t="shared" si="7"/>
        <v>0</v>
      </c>
      <c r="G33" s="47">
        <f t="shared" si="7"/>
        <v>0</v>
      </c>
      <c r="H33" s="47">
        <f t="shared" si="7"/>
        <v>0</v>
      </c>
      <c r="I33" s="47">
        <f t="shared" si="7"/>
        <v>0</v>
      </c>
      <c r="J33" s="47">
        <f t="shared" si="7"/>
        <v>0</v>
      </c>
      <c r="K33" s="47">
        <f t="shared" si="7"/>
        <v>0</v>
      </c>
      <c r="L33" s="47">
        <f t="shared" si="7"/>
        <v>0</v>
      </c>
      <c r="M33" s="47">
        <f t="shared" si="7"/>
        <v>0</v>
      </c>
      <c r="N33" s="48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35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23</v>
      </c>
      <c r="B37" s="51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36</v>
      </c>
      <c r="B38" s="51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37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38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39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25"/>
      <c r="D5" s="13"/>
      <c r="E5" s="25"/>
      <c r="F5" s="25"/>
      <c r="G5" s="59"/>
      <c r="H5" s="60"/>
      <c r="I5" s="61"/>
      <c r="J5" s="62"/>
      <c r="K5" s="60"/>
      <c r="L5" s="59"/>
      <c r="M5" s="59"/>
      <c r="N5" s="18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25"/>
      <c r="D6" s="13"/>
      <c r="E6" s="25"/>
      <c r="F6" s="13"/>
      <c r="G6" s="25"/>
      <c r="H6" s="59"/>
      <c r="I6" s="59"/>
      <c r="J6" s="63"/>
      <c r="K6" s="27"/>
      <c r="L6" s="59"/>
      <c r="M6" s="59"/>
      <c r="N6" s="18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25"/>
      <c r="C12" s="25"/>
      <c r="D12" s="25"/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9" t="s">
        <v>40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34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2" t="s">
        <v>22</v>
      </c>
      <c r="B18" s="12"/>
      <c r="C18" s="12"/>
      <c r="D18" s="12"/>
      <c r="E18" s="12"/>
      <c r="F18" s="12"/>
      <c r="G18" s="12"/>
      <c r="H18" s="12"/>
      <c r="I18" s="12"/>
      <c r="J18" s="12"/>
      <c r="K18" s="27"/>
      <c r="L18" s="13"/>
      <c r="M18" s="13"/>
      <c r="N18" s="34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23</v>
      </c>
      <c r="B19" s="12"/>
      <c r="C19" s="12"/>
      <c r="D19" s="12"/>
      <c r="E19" s="12"/>
      <c r="F19" s="12"/>
      <c r="G19" s="12"/>
      <c r="H19" s="12"/>
      <c r="I19" s="12"/>
      <c r="J19" s="12"/>
      <c r="K19" s="27"/>
      <c r="L19" s="13"/>
      <c r="M19" s="13"/>
      <c r="N19" s="34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2" t="s">
        <v>38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4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39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34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24</v>
      </c>
      <c r="B22" s="12"/>
      <c r="C22" s="12"/>
      <c r="D22" s="12"/>
      <c r="E22" s="12"/>
      <c r="F22" s="37"/>
      <c r="G22" s="37"/>
      <c r="H22" s="37"/>
      <c r="I22" s="37"/>
      <c r="J22" s="37"/>
      <c r="K22" s="37"/>
      <c r="L22" s="37"/>
      <c r="M22" s="37"/>
      <c r="N22" s="34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9" t="s">
        <v>41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40"/>
      <c r="N23" s="34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9" t="s">
        <v>26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40"/>
      <c r="N24" s="34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9" t="s">
        <v>27</v>
      </c>
      <c r="B25" s="12"/>
      <c r="C25" s="12"/>
      <c r="D25" s="12"/>
      <c r="E25" s="12"/>
      <c r="F25" s="12"/>
      <c r="G25" s="12"/>
      <c r="H25" s="12"/>
      <c r="I25" s="12"/>
      <c r="J25" s="12"/>
      <c r="K25" s="27"/>
      <c r="L25" s="13"/>
      <c r="M25" s="13"/>
      <c r="N25" s="34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28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34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29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34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34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4" t="s">
        <v>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4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31</v>
      </c>
      <c r="B30" s="43">
        <f t="shared" ref="B30:M30" si="6">SUM(B17:B29)</f>
        <v>0</v>
      </c>
      <c r="C30" s="43">
        <f t="shared" si="6"/>
        <v>0</v>
      </c>
      <c r="D30" s="43">
        <f t="shared" si="6"/>
        <v>0</v>
      </c>
      <c r="E30" s="43">
        <f t="shared" si="6"/>
        <v>0</v>
      </c>
      <c r="F30" s="43">
        <f t="shared" si="6"/>
        <v>0</v>
      </c>
      <c r="G30" s="43">
        <f t="shared" si="6"/>
        <v>0</v>
      </c>
      <c r="H30" s="43">
        <f t="shared" si="6"/>
        <v>0</v>
      </c>
      <c r="I30" s="43">
        <f t="shared" si="6"/>
        <v>0</v>
      </c>
      <c r="J30" s="43">
        <f t="shared" si="6"/>
        <v>0</v>
      </c>
      <c r="K30" s="43">
        <f t="shared" si="6"/>
        <v>0</v>
      </c>
      <c r="L30" s="43">
        <f t="shared" si="6"/>
        <v>0</v>
      </c>
      <c r="M30" s="43">
        <f t="shared" si="6"/>
        <v>0</v>
      </c>
      <c r="N30" s="44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32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34</v>
      </c>
      <c r="B33" s="47">
        <f t="shared" ref="B33:M33" si="7">MINUS(B13,B30)</f>
        <v>0</v>
      </c>
      <c r="C33" s="47">
        <f t="shared" si="7"/>
        <v>0</v>
      </c>
      <c r="D33" s="47">
        <f t="shared" si="7"/>
        <v>0</v>
      </c>
      <c r="E33" s="47">
        <f t="shared" si="7"/>
        <v>0</v>
      </c>
      <c r="F33" s="47">
        <f t="shared" si="7"/>
        <v>0</v>
      </c>
      <c r="G33" s="47">
        <f t="shared" si="7"/>
        <v>0</v>
      </c>
      <c r="H33" s="47">
        <f t="shared" si="7"/>
        <v>0</v>
      </c>
      <c r="I33" s="47">
        <f t="shared" si="7"/>
        <v>0</v>
      </c>
      <c r="J33" s="47">
        <f t="shared" si="7"/>
        <v>0</v>
      </c>
      <c r="K33" s="47">
        <f t="shared" si="7"/>
        <v>0</v>
      </c>
      <c r="L33" s="47">
        <f t="shared" si="7"/>
        <v>0</v>
      </c>
      <c r="M33" s="47">
        <f t="shared" si="7"/>
        <v>0</v>
      </c>
      <c r="N33" s="48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35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23</v>
      </c>
      <c r="B37" s="51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36</v>
      </c>
      <c r="B38" s="51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37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38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39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