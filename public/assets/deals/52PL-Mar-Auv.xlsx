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</sheets>
  <definedNames/>
  <calcPr/>
</workbook>
</file>

<file path=xl/sharedStrings.xml><?xml version="1.0" encoding="utf-8"?>
<sst xmlns="http://schemas.openxmlformats.org/spreadsheetml/2006/main" count="332" uniqueCount="45">
  <si>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</si>
  <si>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</si>
  <si>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</si>
  <si>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</si>
  <si>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</si>
  <si>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</si>
  <si>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</si>
  <si>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</si>
  <si>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</si>
  <si>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</si>
  <si>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</si>
  <si>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</si>
  <si>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</si>
  <si>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</si>
  <si>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</si>
  <si>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</si>
  <si>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</si>
  <si>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</si>
  <si>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</si>
  <si>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</si>
  <si>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 xml:space="preserve">Gross Profit </t>
  </si>
  <si>
    <t>Expenses</t>
  </si>
  <si>
    <t>Taboola (native ads)</t>
  </si>
  <si>
    <t>Google</t>
  </si>
  <si>
    <t>Facebook</t>
  </si>
  <si>
    <t>Snapchat</t>
  </si>
  <si>
    <t>Pinterest</t>
  </si>
  <si>
    <t>Processing Fees</t>
  </si>
  <si>
    <t>Content Costs</t>
  </si>
  <si>
    <t>355.1 </t>
  </si>
  <si>
    <t xml:space="preserve">Shopify Bill </t>
  </si>
  <si>
    <t>Apps &amp; Software</t>
  </si>
  <si>
    <t>(Klaviyo, TripleWhale)</t>
  </si>
  <si>
    <t xml:space="preserve">3rd Party Softwares </t>
  </si>
  <si>
    <t>Virtual Assistant(s)</t>
  </si>
  <si>
    <t>Email Agency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</si>
  <si>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</si>
  <si>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</si>
  <si>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</si>
  <si>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</si>
  <si>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</si>
  <si>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</si>
  <si>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</si>
  <si>
    <t>*ADD MORE ROWS IF NEEDED*</t>
  </si>
  <si>
    <t>Tiktok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</si>
</sst>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&quot;$&quot;#,##0.00"/>
  </numFmts>
  <fonts count="12">
    <font>
      <sz val="10.0"/>
      <color rgb="FF000000"/>
      <name val="Calibri"/>
      <scheme val="minor"/>
    </font>
    <font>
      <b/>
      <sz val="12.0"/>
      <color rgb="FFFF9900"/>
      <name val="Montserrat"/>
    </font>
    <font>
      <color theme="1"/>
      <name val="Montserrat"/>
    </font>
    <font>
      <i/>
      <u/>
      <color theme="1"/>
      <name val="Montserrat"/>
    </font>
    <font>
      <b/>
      <color rgb="FFFFFFFF"/>
      <name val="Montserrat"/>
    </font>
    <font>
      <sz val="10.0"/>
      <color theme="1"/>
      <name val="Montserrat"/>
    </font>
    <font>
      <sz val="10.0"/>
      <color rgb="FF000000"/>
      <name val="Montserrat"/>
    </font>
    <font>
      <sz val="10.0"/>
      <color rgb="FF303030"/>
      <name val="Montserrat"/>
    </font>
    <font>
      <b/>
      <color theme="1"/>
      <name val="Montserrat"/>
    </font>
    <font>
      <b/>
      <sz val="10.0"/>
      <color theme="1"/>
      <name val="Montserrat"/>
    </font>
    <font>
      <color rgb="FF000000"/>
      <name val="Montserrat"/>
    </font>
    <font>
      <color rgb="FF303030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rgb="FFC496EA"/>
        <bgColor rgb="FFC496E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3" fontId="4" numFmtId="0" xfId="0" applyAlignment="1" applyFill="1" applyFont="1">
      <alignment vertical="bottom"/>
    </xf>
    <xf borderId="0" fillId="3" fontId="4" numFmtId="0" xfId="0" applyAlignment="1" applyFont="1">
      <alignment readingOrder="0"/>
    </xf>
    <xf borderId="0" fillId="3" fontId="4" numFmtId="0" xfId="0" applyAlignment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0" fontId="6" numFmtId="164" xfId="0" applyAlignment="1" applyFont="1" applyNumberFormat="1">
      <alignment horizontal="right" readingOrder="0" vertical="bottom"/>
    </xf>
    <xf borderId="0" fillId="0" fontId="7" numFmtId="164" xfId="0" applyAlignment="1" applyFont="1" applyNumberFormat="1">
      <alignment horizontal="right" readingOrder="0" shrinkToFit="0" wrapText="0"/>
    </xf>
    <xf borderId="0" fillId="0" fontId="7" numFmtId="164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right" readingOrder="0"/>
    </xf>
    <xf borderId="0" fillId="4" fontId="5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7" numFmtId="164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shrinkToFit="0" wrapText="0"/>
    </xf>
    <xf borderId="0" fillId="4" fontId="8" numFmtId="0" xfId="0" applyAlignment="1" applyFont="1">
      <alignment vertical="bottom"/>
    </xf>
    <xf borderId="0" fillId="5" fontId="8" numFmtId="164" xfId="0" applyAlignment="1" applyFill="1" applyFont="1" applyNumberFormat="1">
      <alignment readingOrder="0" shrinkToFit="0" wrapText="0"/>
    </xf>
    <xf borderId="0" fillId="5" fontId="8" numFmtId="164" xfId="0" applyAlignment="1" applyFont="1" applyNumberFormat="1">
      <alignment readingOrder="0" vertical="bottom"/>
    </xf>
    <xf borderId="0" fillId="6" fontId="2" numFmtId="164" xfId="0" applyAlignment="1" applyFill="1" applyFont="1" applyNumberFormat="1">
      <alignment horizontal="right" vertical="bottom"/>
    </xf>
    <xf borderId="0" fillId="6" fontId="6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readingOrder="0"/>
    </xf>
    <xf borderId="0" fillId="6" fontId="5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 vertical="bottom"/>
    </xf>
    <xf borderId="0" fillId="4" fontId="5" numFmtId="164" xfId="0" applyAlignment="1" applyFont="1" applyNumberFormat="1">
      <alignment horizontal="right" readingOrder="0" vertical="bottom"/>
    </xf>
    <xf borderId="0" fillId="4" fontId="9" numFmtId="164" xfId="0" applyAlignment="1" applyFont="1" applyNumberFormat="1">
      <alignment horizontal="right" vertical="bottom"/>
    </xf>
    <xf borderId="0" fillId="4" fontId="9" numFmtId="164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4" fontId="5" numFmtId="165" xfId="0" applyAlignment="1" applyFont="1" applyNumberFormat="1">
      <alignment horizontal="right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2" numFmtId="165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/>
    </xf>
    <xf borderId="0" fillId="0" fontId="5" numFmtId="164" xfId="0" applyAlignment="1" applyFont="1" applyNumberFormat="1">
      <alignment horizontal="right" readingOrder="0"/>
    </xf>
    <xf borderId="0" fillId="6" fontId="7" numFmtId="164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4" fontId="9" numFmtId="165" xfId="0" applyAlignment="1" applyFont="1" applyNumberFormat="1">
      <alignment horizontal="right" vertical="bottom"/>
    </xf>
    <xf borderId="0" fillId="4" fontId="9" numFmtId="165" xfId="0" applyAlignment="1" applyFont="1" applyNumberFormat="1">
      <alignment horizontal="right" readingOrder="0" vertical="bottom"/>
    </xf>
    <xf borderId="0" fillId="6" fontId="2" numFmtId="0" xfId="0" applyAlignment="1" applyFont="1">
      <alignment vertical="bottom"/>
    </xf>
    <xf borderId="0" fillId="3" fontId="4" numFmtId="0" xfId="0" applyAlignment="1" applyFont="1">
      <alignment horizontal="right" readingOrder="0" vertical="bottom"/>
    </xf>
    <xf borderId="0" fillId="4" fontId="8" numFmtId="165" xfId="0" applyAlignment="1" applyFont="1" applyNumberFormat="1">
      <alignment horizontal="right" vertical="bottom"/>
    </xf>
    <xf borderId="0" fillId="4" fontId="8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/>
    </xf>
    <xf borderId="0" fillId="3" fontId="4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2" xfId="0" applyAlignment="1" applyFont="1" applyNumberFormat="1">
      <alignment horizontal="right" vertical="bottom"/>
    </xf>
    <xf borderId="0" fillId="6" fontId="10" numFmtId="0" xfId="0" applyAlignment="1" applyFont="1">
      <alignment vertical="bottom"/>
    </xf>
    <xf borderId="0" fillId="6" fontId="10" numFmtId="165" xfId="0" applyAlignment="1" applyFont="1" applyNumberFormat="1">
      <alignment horizontal="right" vertical="bottom"/>
    </xf>
    <xf borderId="0" fillId="6" fontId="2" numFmtId="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readingOrder="0" shrinkToFit="0" wrapText="0"/>
    </xf>
    <xf borderId="0" fillId="6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6" fontId="5" numFmtId="164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readingOrder="0"/>
    </xf>
    <xf borderId="0" fillId="6" fontId="2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5" numFmtId="164" xfId="0" applyAlignment="1" applyFont="1" applyNumberFormat="1">
      <alignment horizontal="center"/>
    </xf>
    <xf borderId="0" fillId="6" fontId="7" numFmtId="164" xfId="0" applyAlignment="1" applyFont="1" applyNumberFormat="1">
      <alignment horizontal="center" readingOrder="0"/>
    </xf>
    <xf borderId="0" fillId="6" fontId="11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'2026'!$A$37:$A$41</c:f>
            </c:strRef>
          </c:cat>
          <c:val>
            <c:numRef>
              <c:f>'2026'!$B$37:$B$41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'2025'!$A$36:$A$40</c:f>
            </c:strRef>
          </c:cat>
          <c:val>
            <c:numRef>
              <c:f>'2025'!$B$36:$B$40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'2024'!$A$37:$A$41</c:f>
            </c:strRef>
          </c:cat>
          <c:val>
            <c:numRef>
              <c:f>'2024'!$B$37:$B$41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'2023'!$A$37:$A$41</c:f>
            </c:strRef>
          </c:cat>
          <c:val>
            <c:numRef>
              <c:f>'2023'!$B$37:$B$41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34</xdr:row>
      <xdr:rowOff>47625</xdr:rowOff>
    </xdr:from>
    <xdr:ext cx="57721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2026.0</v>
      </c>
      <c r="C3" s="7">
        <v>2026.0</v>
      </c>
      <c r="D3" s="7">
        <v>2026.0</v>
      </c>
      <c r="E3" s="7">
        <v>2026.0</v>
      </c>
      <c r="F3" s="7">
        <v>2026.0</v>
      </c>
      <c r="G3" s="7">
        <v>2026.0</v>
      </c>
      <c r="H3" s="7">
        <v>2026.0</v>
      </c>
      <c r="I3" s="7">
        <v>2026.0</v>
      </c>
      <c r="J3" s="7">
        <v>2026.0</v>
      </c>
      <c r="K3" s="7">
        <v>2026.0</v>
      </c>
      <c r="L3" s="7">
        <v>2026.0</v>
      </c>
      <c r="M3" s="7">
        <v>2026.0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>
        <v>54176.59</v>
      </c>
      <c r="C5" s="12">
        <v>48537.05</v>
      </c>
      <c r="D5" s="13">
        <v>34941.43</v>
      </c>
      <c r="E5" s="14"/>
      <c r="F5" s="14"/>
      <c r="G5" s="15"/>
      <c r="H5" s="16"/>
      <c r="I5" s="16"/>
      <c r="J5" s="17"/>
      <c r="K5" s="16"/>
      <c r="L5" s="15"/>
      <c r="M5" s="15"/>
      <c r="N5" s="18">
        <f t="shared" ref="N5:N8" si="1">SUM(B5:M5)</f>
        <v>137655.07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11">
        <v>907.9</v>
      </c>
      <c r="C6" s="12">
        <v>1563.18</v>
      </c>
      <c r="D6" s="13">
        <v>1794.29</v>
      </c>
      <c r="E6" s="14"/>
      <c r="F6" s="13"/>
      <c r="G6" s="14"/>
      <c r="H6" s="15"/>
      <c r="I6" s="15"/>
      <c r="J6" s="20"/>
      <c r="K6" s="12"/>
      <c r="L6" s="15"/>
      <c r="M6" s="15"/>
      <c r="N6" s="18">
        <f t="shared" si="1"/>
        <v>4265.37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1">
        <v>345.77</v>
      </c>
      <c r="C7" s="21">
        <v>566.53</v>
      </c>
      <c r="D7" s="22">
        <v>714.0</v>
      </c>
      <c r="E7" s="23"/>
      <c r="F7" s="23"/>
      <c r="G7" s="23"/>
      <c r="H7" s="23"/>
      <c r="I7" s="23"/>
      <c r="J7" s="23"/>
      <c r="K7" s="23"/>
      <c r="L7" s="23"/>
      <c r="M7" s="23"/>
      <c r="N7" s="18">
        <f t="shared" si="1"/>
        <v>1626.3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4" t="s">
        <v>17</v>
      </c>
      <c r="B8" s="25">
        <f t="shared" ref="B8:M8" si="2">B5-B6-B7</f>
        <v>52922.92</v>
      </c>
      <c r="C8" s="25">
        <f t="shared" si="2"/>
        <v>46407.34</v>
      </c>
      <c r="D8" s="25">
        <f t="shared" si="2"/>
        <v>32433.14</v>
      </c>
      <c r="E8" s="25">
        <f t="shared" si="2"/>
        <v>0</v>
      </c>
      <c r="F8" s="25">
        <f t="shared" si="2"/>
        <v>0</v>
      </c>
      <c r="G8" s="25">
        <f t="shared" si="2"/>
        <v>0</v>
      </c>
      <c r="H8" s="25">
        <f t="shared" si="2"/>
        <v>0</v>
      </c>
      <c r="I8" s="25">
        <f t="shared" si="2"/>
        <v>0</v>
      </c>
      <c r="J8" s="25">
        <f t="shared" si="2"/>
        <v>0</v>
      </c>
      <c r="K8" s="25">
        <f t="shared" si="2"/>
        <v>0</v>
      </c>
      <c r="L8" s="25">
        <f t="shared" si="2"/>
        <v>0</v>
      </c>
      <c r="M8" s="25">
        <f t="shared" si="2"/>
        <v>0</v>
      </c>
      <c r="N8" s="26">
        <f t="shared" si="1"/>
        <v>131763.4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2026.0</v>
      </c>
      <c r="C10" s="7">
        <v>2026.0</v>
      </c>
      <c r="D10" s="7">
        <v>2026.0</v>
      </c>
      <c r="E10" s="7">
        <v>2026.0</v>
      </c>
      <c r="F10" s="7">
        <v>2026.0</v>
      </c>
      <c r="G10" s="7">
        <v>2026.0</v>
      </c>
      <c r="H10" s="7">
        <v>2026.0</v>
      </c>
      <c r="I10" s="7">
        <v>2026.0</v>
      </c>
      <c r="J10" s="7">
        <v>2026.0</v>
      </c>
      <c r="K10" s="7">
        <v>2026.0</v>
      </c>
      <c r="L10" s="7">
        <v>2026.0</v>
      </c>
      <c r="M10" s="7">
        <v>2026.0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19</v>
      </c>
      <c r="B12" s="27">
        <v>8227.6</v>
      </c>
      <c r="C12" s="27">
        <v>5212.3</v>
      </c>
      <c r="D12" s="27">
        <v>4248.82</v>
      </c>
      <c r="E12" s="28"/>
      <c r="F12" s="28"/>
      <c r="G12" s="28"/>
      <c r="H12" s="29"/>
      <c r="I12" s="28"/>
      <c r="J12" s="28"/>
      <c r="K12" s="30"/>
      <c r="L12" s="13"/>
      <c r="M12" s="31"/>
      <c r="N12" s="32">
        <f t="shared" ref="N12:N13" si="4">SUM(B12:M12)</f>
        <v>17688.72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4" t="s">
        <v>20</v>
      </c>
      <c r="B13" s="33">
        <f t="shared" ref="B13:M13" si="3">B8-B12</f>
        <v>44695.32</v>
      </c>
      <c r="C13" s="33">
        <f t="shared" si="3"/>
        <v>41195.04</v>
      </c>
      <c r="D13" s="33">
        <f t="shared" si="3"/>
        <v>28184.32</v>
      </c>
      <c r="E13" s="33">
        <f t="shared" si="3"/>
        <v>0</v>
      </c>
      <c r="F13" s="33">
        <f t="shared" si="3"/>
        <v>0</v>
      </c>
      <c r="G13" s="33">
        <f t="shared" si="3"/>
        <v>0</v>
      </c>
      <c r="H13" s="33">
        <f t="shared" si="3"/>
        <v>0</v>
      </c>
      <c r="I13" s="33">
        <f t="shared" si="3"/>
        <v>0</v>
      </c>
      <c r="J13" s="33">
        <f t="shared" si="3"/>
        <v>0</v>
      </c>
      <c r="K13" s="33">
        <f t="shared" si="3"/>
        <v>0</v>
      </c>
      <c r="L13" s="33">
        <f t="shared" si="3"/>
        <v>0</v>
      </c>
      <c r="M13" s="33">
        <f t="shared" si="3"/>
        <v>0</v>
      </c>
      <c r="N13" s="34">
        <f t="shared" si="4"/>
        <v>114074.68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2026.0</v>
      </c>
      <c r="C15" s="7">
        <v>2026.0</v>
      </c>
      <c r="D15" s="7">
        <v>2026.0</v>
      </c>
      <c r="E15" s="7">
        <v>2026.0</v>
      </c>
      <c r="F15" s="7">
        <v>2026.0</v>
      </c>
      <c r="G15" s="7">
        <v>2026.0</v>
      </c>
      <c r="H15" s="7">
        <v>2026.0</v>
      </c>
      <c r="I15" s="7">
        <v>2026.0</v>
      </c>
      <c r="J15" s="7">
        <v>2026.0</v>
      </c>
      <c r="K15" s="7">
        <v>2026.0</v>
      </c>
      <c r="L15" s="7">
        <v>2026.0</v>
      </c>
      <c r="M15" s="7">
        <v>2026.0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5" t="s">
        <v>22</v>
      </c>
      <c r="B17" s="21">
        <v>27967.19</v>
      </c>
      <c r="C17" s="21">
        <v>15749.6</v>
      </c>
      <c r="D17" s="36">
        <v>10315.27</v>
      </c>
      <c r="E17" s="12"/>
      <c r="F17" s="12"/>
      <c r="G17" s="12"/>
      <c r="H17" s="12"/>
      <c r="I17" s="12"/>
      <c r="J17" s="12"/>
      <c r="K17" s="12"/>
      <c r="L17" s="12"/>
      <c r="M17" s="12"/>
      <c r="N17" s="37">
        <f t="shared" ref="N17:N30" si="5">SUM(B17:M17)</f>
        <v>54032.06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8" t="s">
        <v>23</v>
      </c>
      <c r="B18" s="36">
        <v>656.7</v>
      </c>
      <c r="C18" s="36">
        <v>438.73</v>
      </c>
      <c r="D18" s="36">
        <v>103.47</v>
      </c>
      <c r="E18" s="12"/>
      <c r="F18" s="12"/>
      <c r="G18" s="12"/>
      <c r="H18" s="12"/>
      <c r="I18" s="12"/>
      <c r="J18" s="12"/>
      <c r="K18" s="30"/>
      <c r="L18" s="13"/>
      <c r="M18" s="13"/>
      <c r="N18" s="37">
        <f t="shared" si="5"/>
        <v>1198.9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9" t="s">
        <v>24</v>
      </c>
      <c r="B19" s="40">
        <v>895.06</v>
      </c>
      <c r="C19" s="40">
        <v>8884.65</v>
      </c>
      <c r="D19" s="40">
        <v>1873.02</v>
      </c>
      <c r="E19" s="12"/>
      <c r="F19" s="12"/>
      <c r="G19" s="12"/>
      <c r="H19" s="12"/>
      <c r="I19" s="12"/>
      <c r="J19" s="12"/>
      <c r="K19" s="30"/>
      <c r="L19" s="13"/>
      <c r="M19" s="13"/>
      <c r="N19" s="37">
        <f t="shared" si="5"/>
        <v>11652.73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8" t="s">
        <v>25</v>
      </c>
      <c r="B20" s="41">
        <v>0.0</v>
      </c>
      <c r="C20" s="41">
        <v>0.0</v>
      </c>
      <c r="D20" s="41">
        <v>0.0</v>
      </c>
      <c r="E20" s="12"/>
      <c r="F20" s="12"/>
      <c r="G20" s="12"/>
      <c r="H20" s="12"/>
      <c r="I20" s="12"/>
      <c r="J20" s="12"/>
      <c r="K20" s="12"/>
      <c r="L20" s="12"/>
      <c r="M20" s="12"/>
      <c r="N20" s="37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9" t="s">
        <v>26</v>
      </c>
      <c r="B21" s="41">
        <v>0.0</v>
      </c>
      <c r="C21" s="41">
        <v>0.0</v>
      </c>
      <c r="D21" s="41">
        <v>0.0</v>
      </c>
      <c r="E21" s="12"/>
      <c r="F21" s="12"/>
      <c r="G21" s="12"/>
      <c r="H21" s="12"/>
      <c r="I21" s="12"/>
      <c r="J21" s="12"/>
      <c r="K21" s="12"/>
      <c r="L21" s="12"/>
      <c r="M21" s="12"/>
      <c r="N21" s="37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2" t="s">
        <v>27</v>
      </c>
      <c r="B22" s="36">
        <f t="shared" ref="B22:D22" si="6">B5*0.0368</f>
        <v>1993.698512</v>
      </c>
      <c r="C22" s="36">
        <f t="shared" si="6"/>
        <v>1786.16344</v>
      </c>
      <c r="D22" s="36">
        <f t="shared" si="6"/>
        <v>1285.844624</v>
      </c>
      <c r="E22" s="12"/>
      <c r="F22" s="43"/>
      <c r="G22" s="43"/>
      <c r="H22" s="43"/>
      <c r="I22" s="44"/>
      <c r="J22" s="43"/>
      <c r="K22" s="43"/>
      <c r="L22" s="43"/>
      <c r="M22" s="43"/>
      <c r="N22" s="37">
        <f t="shared" si="5"/>
        <v>5065.706576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5" t="s">
        <v>28</v>
      </c>
      <c r="B23" s="41">
        <v>0.0</v>
      </c>
      <c r="C23" s="41">
        <v>0.0</v>
      </c>
      <c r="D23" s="41" t="s">
        <v>29</v>
      </c>
      <c r="E23" s="12"/>
      <c r="F23" s="12"/>
      <c r="G23" s="12"/>
      <c r="H23" s="12"/>
      <c r="I23" s="12"/>
      <c r="J23" s="12"/>
      <c r="K23" s="12"/>
      <c r="L23" s="12"/>
      <c r="M23" s="45"/>
      <c r="N23" s="37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5" t="s">
        <v>30</v>
      </c>
      <c r="B24" s="36">
        <v>906.93</v>
      </c>
      <c r="C24" s="36">
        <v>914.11</v>
      </c>
      <c r="D24" s="36">
        <v>824.65</v>
      </c>
      <c r="E24" s="12"/>
      <c r="F24" s="12"/>
      <c r="G24" s="12"/>
      <c r="H24" s="12"/>
      <c r="I24" s="12"/>
      <c r="J24" s="12"/>
      <c r="K24" s="12"/>
      <c r="L24" s="12"/>
      <c r="M24" s="45"/>
      <c r="N24" s="37">
        <f t="shared" si="5"/>
        <v>2645.69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5" t="s">
        <v>31</v>
      </c>
      <c r="B25" s="36">
        <v>691.55</v>
      </c>
      <c r="C25" s="36">
        <v>970.44</v>
      </c>
      <c r="D25" s="36">
        <v>870.21</v>
      </c>
      <c r="E25" s="12"/>
      <c r="F25" s="12"/>
      <c r="G25" s="12"/>
      <c r="H25" s="12"/>
      <c r="I25" s="12"/>
      <c r="J25" s="12"/>
      <c r="K25" s="12"/>
      <c r="L25" s="12"/>
      <c r="M25" s="45"/>
      <c r="N25" s="37">
        <f t="shared" si="5"/>
        <v>2532.2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5" t="s">
        <v>32</v>
      </c>
      <c r="B26" s="41">
        <v>0.0</v>
      </c>
      <c r="C26" s="41">
        <v>500.0</v>
      </c>
      <c r="D26" s="41">
        <v>150.0</v>
      </c>
      <c r="E26" s="12"/>
      <c r="F26" s="12"/>
      <c r="G26" s="12"/>
      <c r="H26" s="12"/>
      <c r="I26" s="12"/>
      <c r="J26" s="12"/>
      <c r="K26" s="30"/>
      <c r="L26" s="13"/>
      <c r="M26" s="13"/>
      <c r="N26" s="37">
        <f t="shared" si="5"/>
        <v>650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6" t="s">
        <v>33</v>
      </c>
      <c r="B27" s="41">
        <v>0.0</v>
      </c>
      <c r="C27" s="41">
        <v>0.0</v>
      </c>
      <c r="D27" s="41">
        <v>0.0</v>
      </c>
      <c r="E27" s="12"/>
      <c r="F27" s="12"/>
      <c r="G27" s="12"/>
      <c r="H27" s="12"/>
      <c r="I27" s="12"/>
      <c r="J27" s="12"/>
      <c r="K27" s="12"/>
      <c r="L27" s="12"/>
      <c r="M27" s="12"/>
      <c r="N27" s="37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2" t="s">
        <v>34</v>
      </c>
      <c r="B28" s="41">
        <v>136.35</v>
      </c>
      <c r="C28" s="41">
        <v>220.0</v>
      </c>
      <c r="D28" s="41">
        <v>450.0</v>
      </c>
      <c r="E28" s="12"/>
      <c r="F28" s="12"/>
      <c r="G28" s="12"/>
      <c r="H28" s="12"/>
      <c r="I28" s="12"/>
      <c r="J28" s="12"/>
      <c r="K28" s="12"/>
      <c r="L28" s="12"/>
      <c r="M28" s="12"/>
      <c r="N28" s="37">
        <f t="shared" si="5"/>
        <v>806.35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9" t="s">
        <v>35</v>
      </c>
      <c r="B29" s="41">
        <v>0.0</v>
      </c>
      <c r="C29" s="41">
        <v>0.0</v>
      </c>
      <c r="D29" s="41">
        <v>0.0</v>
      </c>
      <c r="E29" s="12"/>
      <c r="F29" s="12"/>
      <c r="G29" s="12"/>
      <c r="H29" s="12"/>
      <c r="I29" s="12"/>
      <c r="J29" s="12"/>
      <c r="K29" s="12"/>
      <c r="L29" s="12"/>
      <c r="M29" s="12"/>
      <c r="N29" s="37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4" t="s">
        <v>36</v>
      </c>
      <c r="B30" s="47">
        <f t="shared" ref="B30:M30" si="7">SUM(B17:B29)</f>
        <v>33247.47851</v>
      </c>
      <c r="C30" s="47">
        <f t="shared" si="7"/>
        <v>29463.69344</v>
      </c>
      <c r="D30" s="47">
        <f t="shared" si="7"/>
        <v>15872.46462</v>
      </c>
      <c r="E30" s="47">
        <f t="shared" si="7"/>
        <v>0</v>
      </c>
      <c r="F30" s="47">
        <f t="shared" si="7"/>
        <v>0</v>
      </c>
      <c r="G30" s="47">
        <f t="shared" si="7"/>
        <v>0</v>
      </c>
      <c r="H30" s="47">
        <f t="shared" si="7"/>
        <v>0</v>
      </c>
      <c r="I30" s="47">
        <f t="shared" si="7"/>
        <v>0</v>
      </c>
      <c r="J30" s="47">
        <f t="shared" si="7"/>
        <v>0</v>
      </c>
      <c r="K30" s="47">
        <f t="shared" si="7"/>
        <v>0</v>
      </c>
      <c r="L30" s="47">
        <f t="shared" si="7"/>
        <v>0</v>
      </c>
      <c r="M30" s="47">
        <f t="shared" si="7"/>
        <v>0</v>
      </c>
      <c r="N30" s="48">
        <f t="shared" si="5"/>
        <v>78583.63658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9"/>
      <c r="F31" s="49"/>
      <c r="G31" s="49"/>
      <c r="H31" s="49"/>
      <c r="I31" s="49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37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50" t="s">
        <v>38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4" t="s">
        <v>39</v>
      </c>
      <c r="B33" s="51">
        <f t="shared" ref="B33:M33" si="8">MINUS(B13,B30)</f>
        <v>11447.84149</v>
      </c>
      <c r="C33" s="51">
        <f t="shared" si="8"/>
        <v>11731.34656</v>
      </c>
      <c r="D33" s="51">
        <f t="shared" si="8"/>
        <v>12311.85538</v>
      </c>
      <c r="E33" s="51">
        <f t="shared" si="8"/>
        <v>0</v>
      </c>
      <c r="F33" s="51">
        <f t="shared" si="8"/>
        <v>0</v>
      </c>
      <c r="G33" s="51">
        <f t="shared" si="8"/>
        <v>0</v>
      </c>
      <c r="H33" s="51">
        <f t="shared" si="8"/>
        <v>0</v>
      </c>
      <c r="I33" s="51">
        <f t="shared" si="8"/>
        <v>0</v>
      </c>
      <c r="J33" s="51">
        <f t="shared" si="8"/>
        <v>0</v>
      </c>
      <c r="K33" s="51">
        <f t="shared" si="8"/>
        <v>0</v>
      </c>
      <c r="L33" s="51">
        <f t="shared" si="8"/>
        <v>0</v>
      </c>
      <c r="M33" s="51">
        <f t="shared" si="8"/>
        <v>0</v>
      </c>
      <c r="N33" s="52">
        <f>SUM(B33:M33)</f>
        <v>35491.04342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4" t="s">
        <v>40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5">
        <f>SUM(N19)</f>
        <v>11652.73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41</v>
      </c>
      <c r="B38" s="55">
        <f>SUM(N18)</f>
        <v>1198.9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5" t="s">
        <v>22</v>
      </c>
      <c r="B39" s="56">
        <f>sum(N17)</f>
        <v>54032.06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5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5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9"/>
      <c r="B47" s="2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9"/>
      <c r="B48" s="5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8"/>
      <c r="B50" s="5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9"/>
      <c r="B51" s="6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2025.0</v>
      </c>
      <c r="C3" s="7">
        <v>2025.0</v>
      </c>
      <c r="D3" s="7">
        <v>2025.0</v>
      </c>
      <c r="E3" s="7">
        <v>2025.0</v>
      </c>
      <c r="F3" s="7">
        <v>2025.0</v>
      </c>
      <c r="G3" s="7">
        <v>2025.0</v>
      </c>
      <c r="H3" s="7">
        <v>2025.0</v>
      </c>
      <c r="I3" s="7">
        <v>2025.0</v>
      </c>
      <c r="J3" s="7">
        <v>2025.0</v>
      </c>
      <c r="K3" s="7">
        <v>2025.0</v>
      </c>
      <c r="L3" s="7">
        <v>2025.0</v>
      </c>
      <c r="M3" s="7">
        <v>2025.0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4"/>
      <c r="D5" s="13"/>
      <c r="E5" s="14"/>
      <c r="F5" s="14"/>
      <c r="G5" s="61">
        <v>17105.36</v>
      </c>
      <c r="H5" s="44">
        <v>28342.97</v>
      </c>
      <c r="I5" s="44">
        <v>49140.39</v>
      </c>
      <c r="J5" s="44">
        <v>72718.39</v>
      </c>
      <c r="K5" s="44">
        <v>63266.35</v>
      </c>
      <c r="L5" s="61">
        <v>49060.35</v>
      </c>
      <c r="M5" s="61">
        <v>47919.6</v>
      </c>
      <c r="N5" s="18">
        <f t="shared" ref="N5:N8" si="1">SUM(B5:M5)</f>
        <v>327553.41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11"/>
      <c r="C6" s="14"/>
      <c r="D6" s="13"/>
      <c r="E6" s="14"/>
      <c r="F6" s="13"/>
      <c r="G6" s="12">
        <v>0.0</v>
      </c>
      <c r="H6" s="61">
        <v>44.64</v>
      </c>
      <c r="I6" s="61">
        <v>160.8</v>
      </c>
      <c r="J6" s="11">
        <v>2512.97</v>
      </c>
      <c r="K6" s="12">
        <v>1545.09</v>
      </c>
      <c r="L6" s="61">
        <v>2488.96</v>
      </c>
      <c r="M6" s="61">
        <v>2314.65</v>
      </c>
      <c r="N6" s="18">
        <f t="shared" si="1"/>
        <v>9067.11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3"/>
      <c r="C7" s="23"/>
      <c r="D7" s="23"/>
      <c r="E7" s="23"/>
      <c r="F7" s="23"/>
      <c r="G7" s="23">
        <v>0.0</v>
      </c>
      <c r="H7" s="23">
        <v>0.0</v>
      </c>
      <c r="I7" s="23">
        <v>0.0</v>
      </c>
      <c r="J7" s="21">
        <v>380.1</v>
      </c>
      <c r="K7" s="62">
        <v>293.83</v>
      </c>
      <c r="L7" s="63">
        <v>478.37</v>
      </c>
      <c r="M7" s="63">
        <v>259.89</v>
      </c>
      <c r="N7" s="18">
        <f t="shared" si="1"/>
        <v>1412.19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4" t="s">
        <v>17</v>
      </c>
      <c r="B8" s="25">
        <f t="shared" ref="B8:M8" si="2">B5-B6-B7</f>
        <v>0</v>
      </c>
      <c r="C8" s="25">
        <f t="shared" si="2"/>
        <v>0</v>
      </c>
      <c r="D8" s="25">
        <f t="shared" si="2"/>
        <v>0</v>
      </c>
      <c r="E8" s="25">
        <f t="shared" si="2"/>
        <v>0</v>
      </c>
      <c r="F8" s="25">
        <f t="shared" si="2"/>
        <v>0</v>
      </c>
      <c r="G8" s="25">
        <f t="shared" si="2"/>
        <v>17105.36</v>
      </c>
      <c r="H8" s="25">
        <f t="shared" si="2"/>
        <v>28298.33</v>
      </c>
      <c r="I8" s="25">
        <f t="shared" si="2"/>
        <v>48979.59</v>
      </c>
      <c r="J8" s="25">
        <f t="shared" si="2"/>
        <v>69825.32</v>
      </c>
      <c r="K8" s="25">
        <f t="shared" si="2"/>
        <v>61427.43</v>
      </c>
      <c r="L8" s="25">
        <f t="shared" si="2"/>
        <v>46093.02</v>
      </c>
      <c r="M8" s="25">
        <f t="shared" si="2"/>
        <v>45345.06</v>
      </c>
      <c r="N8" s="26">
        <f t="shared" si="1"/>
        <v>317074.11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2025.0</v>
      </c>
      <c r="C10" s="7">
        <v>2025.0</v>
      </c>
      <c r="D10" s="7">
        <v>2025.0</v>
      </c>
      <c r="E10" s="7">
        <v>2025.0</v>
      </c>
      <c r="F10" s="7">
        <v>2025.0</v>
      </c>
      <c r="G10" s="7">
        <v>2025.0</v>
      </c>
      <c r="H10" s="7">
        <v>2025.0</v>
      </c>
      <c r="I10" s="7">
        <v>2025.0</v>
      </c>
      <c r="J10" s="7">
        <v>2025.0</v>
      </c>
      <c r="K10" s="7">
        <v>2025.0</v>
      </c>
      <c r="L10" s="7">
        <v>2025.0</v>
      </c>
      <c r="M10" s="7">
        <v>2025.0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19</v>
      </c>
      <c r="B12" s="28"/>
      <c r="C12" s="28"/>
      <c r="D12" s="28"/>
      <c r="E12" s="28"/>
      <c r="F12" s="28"/>
      <c r="G12" s="27">
        <v>1962.3</v>
      </c>
      <c r="H12" s="64">
        <v>3499.6</v>
      </c>
      <c r="I12" s="27">
        <v>7041.2</v>
      </c>
      <c r="J12" s="27">
        <v>10241.42</v>
      </c>
      <c r="K12" s="27">
        <v>8341.9</v>
      </c>
      <c r="L12" s="64">
        <v>4579.03</v>
      </c>
      <c r="M12" s="64">
        <v>4737.85</v>
      </c>
      <c r="N12" s="32">
        <f t="shared" ref="N12:N13" si="4">SUM(B12:M12)</f>
        <v>40403.3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4" t="s">
        <v>20</v>
      </c>
      <c r="B13" s="33">
        <f t="shared" ref="B13:M13" si="3">B8-B12</f>
        <v>0</v>
      </c>
      <c r="C13" s="33">
        <f t="shared" si="3"/>
        <v>0</v>
      </c>
      <c r="D13" s="33">
        <f t="shared" si="3"/>
        <v>0</v>
      </c>
      <c r="E13" s="33">
        <f t="shared" si="3"/>
        <v>0</v>
      </c>
      <c r="F13" s="33">
        <f t="shared" si="3"/>
        <v>0</v>
      </c>
      <c r="G13" s="33">
        <f t="shared" si="3"/>
        <v>15143.06</v>
      </c>
      <c r="H13" s="33">
        <f t="shared" si="3"/>
        <v>24798.73</v>
      </c>
      <c r="I13" s="33">
        <f t="shared" si="3"/>
        <v>41938.39</v>
      </c>
      <c r="J13" s="33">
        <f t="shared" si="3"/>
        <v>59583.9</v>
      </c>
      <c r="K13" s="33">
        <f t="shared" si="3"/>
        <v>53085.53</v>
      </c>
      <c r="L13" s="33">
        <f t="shared" si="3"/>
        <v>41513.99</v>
      </c>
      <c r="M13" s="33">
        <f t="shared" si="3"/>
        <v>40607.21</v>
      </c>
      <c r="N13" s="34">
        <f t="shared" si="4"/>
        <v>276670.81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2025.0</v>
      </c>
      <c r="C15" s="7">
        <v>2025.0</v>
      </c>
      <c r="D15" s="7">
        <v>2025.0</v>
      </c>
      <c r="E15" s="7">
        <v>2025.0</v>
      </c>
      <c r="F15" s="7">
        <v>2025.0</v>
      </c>
      <c r="G15" s="7">
        <v>2025.0</v>
      </c>
      <c r="H15" s="7">
        <v>2025.0</v>
      </c>
      <c r="I15" s="7">
        <v>2025.0</v>
      </c>
      <c r="J15" s="7">
        <v>2025.0</v>
      </c>
      <c r="K15" s="7">
        <v>2025.0</v>
      </c>
      <c r="L15" s="7">
        <v>2025.0</v>
      </c>
      <c r="M15" s="7">
        <v>2025.0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5" t="s">
        <v>22</v>
      </c>
      <c r="B17" s="12"/>
      <c r="C17" s="12"/>
      <c r="D17" s="12"/>
      <c r="E17" s="12"/>
      <c r="F17" s="12"/>
      <c r="G17" s="21">
        <v>18458.56</v>
      </c>
      <c r="H17" s="21">
        <v>26366.66</v>
      </c>
      <c r="I17" s="21">
        <v>30013.14</v>
      </c>
      <c r="J17" s="21">
        <v>42152.68</v>
      </c>
      <c r="K17" s="21">
        <v>34818.13</v>
      </c>
      <c r="L17" s="21">
        <v>28319.56</v>
      </c>
      <c r="M17" s="21">
        <v>33388.14</v>
      </c>
      <c r="N17" s="37">
        <f t="shared" ref="N17:N29" si="5">SUM(B17:M17)</f>
        <v>213516.87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8" t="s">
        <v>23</v>
      </c>
      <c r="B18" s="12"/>
      <c r="C18" s="12"/>
      <c r="D18" s="12"/>
      <c r="E18" s="12"/>
      <c r="F18" s="12"/>
      <c r="G18" s="36">
        <v>0.0</v>
      </c>
      <c r="H18" s="36">
        <v>59.09</v>
      </c>
      <c r="I18" s="36">
        <v>86.55</v>
      </c>
      <c r="J18" s="36">
        <v>0.0</v>
      </c>
      <c r="K18" s="65">
        <v>0.0</v>
      </c>
      <c r="L18" s="66">
        <v>0.0</v>
      </c>
      <c r="M18" s="66">
        <v>321.94</v>
      </c>
      <c r="N18" s="37">
        <f t="shared" si="5"/>
        <v>467.58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9" t="s">
        <v>24</v>
      </c>
      <c r="B19" s="12"/>
      <c r="C19" s="12"/>
      <c r="D19" s="12"/>
      <c r="E19" s="12"/>
      <c r="F19" s="12"/>
      <c r="G19" s="40">
        <v>0.0</v>
      </c>
      <c r="H19" s="40">
        <v>0.0</v>
      </c>
      <c r="I19" s="40">
        <v>0.0</v>
      </c>
      <c r="J19" s="40">
        <v>0.0</v>
      </c>
      <c r="K19" s="67">
        <v>2449.26</v>
      </c>
      <c r="L19" s="68">
        <v>4813.78</v>
      </c>
      <c r="M19" s="68">
        <v>1412.92</v>
      </c>
      <c r="N19" s="37">
        <f t="shared" si="5"/>
        <v>8675.96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8" t="s">
        <v>25</v>
      </c>
      <c r="B20" s="12"/>
      <c r="C20" s="12"/>
      <c r="D20" s="12"/>
      <c r="E20" s="12"/>
      <c r="F20" s="12"/>
      <c r="G20" s="36">
        <v>0.0</v>
      </c>
      <c r="H20" s="36">
        <v>0.0</v>
      </c>
      <c r="I20" s="36">
        <v>0.0</v>
      </c>
      <c r="J20" s="36">
        <v>0.0</v>
      </c>
      <c r="K20" s="36">
        <v>0.0</v>
      </c>
      <c r="L20" s="36">
        <v>0.0</v>
      </c>
      <c r="M20" s="36">
        <v>0.0</v>
      </c>
      <c r="N20" s="37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9" t="s">
        <v>26</v>
      </c>
      <c r="B21" s="12"/>
      <c r="C21" s="12"/>
      <c r="D21" s="12"/>
      <c r="E21" s="12"/>
      <c r="F21" s="12"/>
      <c r="G21" s="36">
        <v>0.0</v>
      </c>
      <c r="H21" s="36">
        <v>0.0</v>
      </c>
      <c r="I21" s="36">
        <v>0.0</v>
      </c>
      <c r="J21" s="36">
        <v>0.0</v>
      </c>
      <c r="K21" s="36">
        <v>0.0</v>
      </c>
      <c r="L21" s="36">
        <v>0.0</v>
      </c>
      <c r="M21" s="36">
        <v>0.0</v>
      </c>
      <c r="N21" s="37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2" t="s">
        <v>27</v>
      </c>
      <c r="B22" s="12"/>
      <c r="C22" s="12"/>
      <c r="D22" s="12"/>
      <c r="E22" s="12"/>
      <c r="F22" s="43"/>
      <c r="G22" s="69">
        <f t="shared" ref="G22:M22" si="6">G5*0.0368</f>
        <v>629.477248</v>
      </c>
      <c r="H22" s="69">
        <f t="shared" si="6"/>
        <v>1043.021296</v>
      </c>
      <c r="I22" s="69">
        <f t="shared" si="6"/>
        <v>1808.366352</v>
      </c>
      <c r="J22" s="69">
        <f t="shared" si="6"/>
        <v>2676.036752</v>
      </c>
      <c r="K22" s="69">
        <f t="shared" si="6"/>
        <v>2328.20168</v>
      </c>
      <c r="L22" s="69">
        <f t="shared" si="6"/>
        <v>1805.42088</v>
      </c>
      <c r="M22" s="69">
        <f t="shared" si="6"/>
        <v>1763.44128</v>
      </c>
      <c r="N22" s="37">
        <f t="shared" si="5"/>
        <v>12053.96549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5" t="s">
        <v>28</v>
      </c>
      <c r="B23" s="12"/>
      <c r="C23" s="12"/>
      <c r="D23" s="12"/>
      <c r="E23" s="12"/>
      <c r="F23" s="12"/>
      <c r="G23" s="36">
        <v>0.0</v>
      </c>
      <c r="H23" s="36">
        <v>0.0</v>
      </c>
      <c r="I23" s="36">
        <v>0.0</v>
      </c>
      <c r="J23" s="36">
        <v>0.0</v>
      </c>
      <c r="K23" s="36">
        <v>0.0</v>
      </c>
      <c r="L23" s="36">
        <v>0.0</v>
      </c>
      <c r="M23" s="36">
        <v>0.0</v>
      </c>
      <c r="N23" s="37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5" t="s">
        <v>30</v>
      </c>
      <c r="B24" s="12"/>
      <c r="C24" s="12"/>
      <c r="D24" s="12"/>
      <c r="E24" s="12"/>
      <c r="F24" s="12"/>
      <c r="G24" s="36">
        <v>121.15</v>
      </c>
      <c r="H24" s="36">
        <v>206.75</v>
      </c>
      <c r="I24" s="36">
        <v>242.76</v>
      </c>
      <c r="J24" s="36">
        <v>1168.64</v>
      </c>
      <c r="K24" s="36">
        <v>755.23</v>
      </c>
      <c r="L24" s="36">
        <v>1460.9</v>
      </c>
      <c r="M24" s="70">
        <v>1063.95</v>
      </c>
      <c r="N24" s="37">
        <f t="shared" si="5"/>
        <v>5019.38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5" t="s">
        <v>31</v>
      </c>
      <c r="B25" s="12"/>
      <c r="C25" s="12"/>
      <c r="D25" s="12"/>
      <c r="E25" s="12"/>
      <c r="F25" s="12"/>
      <c r="G25" s="40">
        <v>129.02</v>
      </c>
      <c r="H25" s="40">
        <v>215.997595</v>
      </c>
      <c r="I25" s="40">
        <v>243.26</v>
      </c>
      <c r="J25" s="40">
        <v>882.61</v>
      </c>
      <c r="K25" s="67">
        <v>425.24</v>
      </c>
      <c r="L25" s="68">
        <v>956.75</v>
      </c>
      <c r="M25" s="71">
        <v>869.52</v>
      </c>
      <c r="N25" s="37">
        <f t="shared" si="5"/>
        <v>3722.397595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5" t="s">
        <v>32</v>
      </c>
      <c r="B26" s="12"/>
      <c r="C26" s="12"/>
      <c r="D26" s="12"/>
      <c r="E26" s="12"/>
      <c r="F26" s="12"/>
      <c r="G26" s="36">
        <v>0.0</v>
      </c>
      <c r="H26" s="36">
        <v>0.0</v>
      </c>
      <c r="I26" s="40">
        <v>72.0</v>
      </c>
      <c r="J26" s="40">
        <v>299.0</v>
      </c>
      <c r="K26" s="67">
        <v>299.0</v>
      </c>
      <c r="L26" s="72">
        <v>299.0</v>
      </c>
      <c r="M26" s="72">
        <v>299.0</v>
      </c>
      <c r="N26" s="37">
        <f t="shared" si="5"/>
        <v>1268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2" t="s">
        <v>34</v>
      </c>
      <c r="B27" s="12"/>
      <c r="C27" s="12"/>
      <c r="D27" s="12"/>
      <c r="E27" s="12"/>
      <c r="F27" s="12"/>
      <c r="G27" s="40">
        <v>0.0</v>
      </c>
      <c r="H27" s="40">
        <v>0.0</v>
      </c>
      <c r="I27" s="36">
        <v>0.0</v>
      </c>
      <c r="J27" s="40">
        <v>140.0</v>
      </c>
      <c r="K27" s="67">
        <v>140.0</v>
      </c>
      <c r="L27" s="72">
        <v>140.0</v>
      </c>
      <c r="M27" s="72">
        <v>140.0</v>
      </c>
      <c r="N27" s="37">
        <f t="shared" si="5"/>
        <v>560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9" t="s">
        <v>35</v>
      </c>
      <c r="B28" s="12"/>
      <c r="C28" s="12"/>
      <c r="D28" s="12"/>
      <c r="E28" s="12"/>
      <c r="F28" s="12"/>
      <c r="G28" s="36">
        <v>0.0</v>
      </c>
      <c r="H28" s="36">
        <v>0.0</v>
      </c>
      <c r="I28" s="36">
        <v>0.0</v>
      </c>
      <c r="J28" s="36">
        <v>0.0</v>
      </c>
      <c r="K28" s="36">
        <v>0.0</v>
      </c>
      <c r="L28" s="36">
        <v>0.0</v>
      </c>
      <c r="M28" s="36">
        <v>0.0</v>
      </c>
      <c r="N28" s="37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4" t="s">
        <v>36</v>
      </c>
      <c r="B29" s="47">
        <f t="shared" ref="B29:M29" si="7">SUM(B17:B28)</f>
        <v>0</v>
      </c>
      <c r="C29" s="47">
        <f t="shared" si="7"/>
        <v>0</v>
      </c>
      <c r="D29" s="47">
        <f t="shared" si="7"/>
        <v>0</v>
      </c>
      <c r="E29" s="47">
        <f t="shared" si="7"/>
        <v>0</v>
      </c>
      <c r="F29" s="47">
        <f t="shared" si="7"/>
        <v>0</v>
      </c>
      <c r="G29" s="47">
        <f t="shared" si="7"/>
        <v>19338.20725</v>
      </c>
      <c r="H29" s="47">
        <f t="shared" si="7"/>
        <v>27891.51889</v>
      </c>
      <c r="I29" s="47">
        <f t="shared" si="7"/>
        <v>32466.07635</v>
      </c>
      <c r="J29" s="47">
        <f t="shared" si="7"/>
        <v>47318.96675</v>
      </c>
      <c r="K29" s="47">
        <f t="shared" si="7"/>
        <v>41215.06168</v>
      </c>
      <c r="L29" s="47">
        <f t="shared" si="7"/>
        <v>37795.41088</v>
      </c>
      <c r="M29" s="47">
        <f t="shared" si="7"/>
        <v>39258.91128</v>
      </c>
      <c r="N29" s="48">
        <f t="shared" si="5"/>
        <v>245284.1531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6"/>
      <c r="B30" s="6"/>
      <c r="C30" s="6"/>
      <c r="D30" s="6"/>
      <c r="E30" s="49"/>
      <c r="F30" s="49"/>
      <c r="G30" s="49"/>
      <c r="H30" s="49"/>
      <c r="I30" s="49"/>
      <c r="J30" s="6"/>
      <c r="K30" s="6"/>
      <c r="L30" s="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8" t="s">
        <v>37</v>
      </c>
      <c r="B31" s="9" t="s">
        <v>1</v>
      </c>
      <c r="C31" s="9" t="s">
        <v>2</v>
      </c>
      <c r="D31" s="9" t="s">
        <v>3</v>
      </c>
      <c r="E31" s="8" t="s">
        <v>4</v>
      </c>
      <c r="F31" s="8" t="s">
        <v>5</v>
      </c>
      <c r="G31" s="8" t="s">
        <v>6</v>
      </c>
      <c r="H31" s="8" t="s">
        <v>7</v>
      </c>
      <c r="I31" s="8" t="s">
        <v>8</v>
      </c>
      <c r="J31" s="8" t="s">
        <v>9</v>
      </c>
      <c r="K31" s="8" t="s">
        <v>10</v>
      </c>
      <c r="L31" s="8" t="s">
        <v>11</v>
      </c>
      <c r="M31" s="8" t="s">
        <v>12</v>
      </c>
      <c r="N31" s="50" t="s">
        <v>38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4" t="s">
        <v>39</v>
      </c>
      <c r="B32" s="51">
        <f t="shared" ref="B32:M32" si="8">MINUS(B13,B29)</f>
        <v>0</v>
      </c>
      <c r="C32" s="51">
        <f t="shared" si="8"/>
        <v>0</v>
      </c>
      <c r="D32" s="51">
        <f t="shared" si="8"/>
        <v>0</v>
      </c>
      <c r="E32" s="51">
        <f t="shared" si="8"/>
        <v>0</v>
      </c>
      <c r="F32" s="51">
        <f t="shared" si="8"/>
        <v>0</v>
      </c>
      <c r="G32" s="51">
        <f t="shared" si="8"/>
        <v>-4195.147248</v>
      </c>
      <c r="H32" s="51">
        <f t="shared" si="8"/>
        <v>-3092.788891</v>
      </c>
      <c r="I32" s="51">
        <f t="shared" si="8"/>
        <v>9472.313648</v>
      </c>
      <c r="J32" s="51">
        <f t="shared" si="8"/>
        <v>12264.93325</v>
      </c>
      <c r="K32" s="51">
        <f t="shared" si="8"/>
        <v>11870.46832</v>
      </c>
      <c r="L32" s="51">
        <f t="shared" si="8"/>
        <v>3718.57912</v>
      </c>
      <c r="M32" s="51">
        <f t="shared" si="8"/>
        <v>1348.29872</v>
      </c>
      <c r="N32" s="52">
        <f>SUM(B32:M32)</f>
        <v>31386.65692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4" t="s">
        <v>40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 t="s">
        <v>24</v>
      </c>
      <c r="B36" s="55">
        <f>SUM(N19)</f>
        <v>8675.96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7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41</v>
      </c>
      <c r="B37" s="55">
        <f>SUM(N18)</f>
        <v>467.58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7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5" t="s">
        <v>22</v>
      </c>
      <c r="B38" s="56">
        <f>sum(N17)</f>
        <v>213516.87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25</v>
      </c>
      <c r="B39" s="55">
        <f>SUM(N20)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 t="s">
        <v>26</v>
      </c>
      <c r="B40" s="55">
        <f>sum(N21)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5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9"/>
      <c r="B46" s="2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9"/>
      <c r="B47" s="5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6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8"/>
      <c r="B49" s="5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9"/>
      <c r="B50" s="6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mergeCells count="1">
    <mergeCell ref="A35:B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2024.0</v>
      </c>
      <c r="C3" s="7">
        <v>2024.0</v>
      </c>
      <c r="D3" s="7">
        <v>2024.0</v>
      </c>
      <c r="E3" s="7">
        <v>2024.0</v>
      </c>
      <c r="F3" s="7">
        <v>2024.0</v>
      </c>
      <c r="G3" s="7">
        <v>2024.0</v>
      </c>
      <c r="H3" s="7">
        <v>2024.0</v>
      </c>
      <c r="I3" s="7">
        <v>2024.0</v>
      </c>
      <c r="J3" s="7">
        <v>2024.0</v>
      </c>
      <c r="K3" s="7">
        <v>2024.0</v>
      </c>
      <c r="L3" s="7">
        <v>2024.0</v>
      </c>
      <c r="M3" s="7">
        <v>2024.0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4"/>
      <c r="D5" s="13"/>
      <c r="E5" s="14"/>
      <c r="F5" s="14"/>
      <c r="G5" s="15"/>
      <c r="H5" s="16"/>
      <c r="I5" s="16"/>
      <c r="J5" s="17"/>
      <c r="K5" s="16"/>
      <c r="L5" s="15"/>
      <c r="M5" s="15"/>
      <c r="N5" s="18">
        <f t="shared" ref="N5:N8" si="1">SUM(B5:M5)</f>
        <v>0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11"/>
      <c r="C6" s="14"/>
      <c r="D6" s="13"/>
      <c r="E6" s="14"/>
      <c r="F6" s="13"/>
      <c r="G6" s="14"/>
      <c r="H6" s="15"/>
      <c r="I6" s="15"/>
      <c r="J6" s="20"/>
      <c r="K6" s="12"/>
      <c r="L6" s="15"/>
      <c r="M6" s="15"/>
      <c r="N6" s="18">
        <f t="shared" si="1"/>
        <v>0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18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4" t="s">
        <v>17</v>
      </c>
      <c r="B8" s="25">
        <f t="shared" ref="B8:M8" si="2">B5-B6-B7</f>
        <v>0</v>
      </c>
      <c r="C8" s="25">
        <f t="shared" si="2"/>
        <v>0</v>
      </c>
      <c r="D8" s="25">
        <f t="shared" si="2"/>
        <v>0</v>
      </c>
      <c r="E8" s="25">
        <f t="shared" si="2"/>
        <v>0</v>
      </c>
      <c r="F8" s="25">
        <f t="shared" si="2"/>
        <v>0</v>
      </c>
      <c r="G8" s="25">
        <f t="shared" si="2"/>
        <v>0</v>
      </c>
      <c r="H8" s="25">
        <f t="shared" si="2"/>
        <v>0</v>
      </c>
      <c r="I8" s="25">
        <f t="shared" si="2"/>
        <v>0</v>
      </c>
      <c r="J8" s="25">
        <f t="shared" si="2"/>
        <v>0</v>
      </c>
      <c r="K8" s="25">
        <f t="shared" si="2"/>
        <v>0</v>
      </c>
      <c r="L8" s="25">
        <f t="shared" si="2"/>
        <v>0</v>
      </c>
      <c r="M8" s="25">
        <f t="shared" si="2"/>
        <v>0</v>
      </c>
      <c r="N8" s="26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2024.0</v>
      </c>
      <c r="C10" s="7">
        <v>2024.0</v>
      </c>
      <c r="D10" s="7">
        <v>2024.0</v>
      </c>
      <c r="E10" s="7">
        <v>2024.0</v>
      </c>
      <c r="F10" s="7">
        <v>2024.0</v>
      </c>
      <c r="G10" s="7">
        <v>2024.0</v>
      </c>
      <c r="H10" s="7">
        <v>2024.0</v>
      </c>
      <c r="I10" s="7">
        <v>2024.0</v>
      </c>
      <c r="J10" s="7">
        <v>2024.0</v>
      </c>
      <c r="K10" s="7">
        <v>2024.0</v>
      </c>
      <c r="L10" s="7">
        <v>2024.0</v>
      </c>
      <c r="M10" s="7">
        <v>2024.0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19</v>
      </c>
      <c r="B12" s="28"/>
      <c r="C12" s="28"/>
      <c r="D12" s="28"/>
      <c r="E12" s="28"/>
      <c r="F12" s="28"/>
      <c r="G12" s="28"/>
      <c r="H12" s="29"/>
      <c r="I12" s="28"/>
      <c r="J12" s="28"/>
      <c r="K12" s="30"/>
      <c r="L12" s="13"/>
      <c r="M12" s="31"/>
      <c r="N12" s="32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4" t="s">
        <v>20</v>
      </c>
      <c r="B13" s="33">
        <f t="shared" ref="B13:M13" si="3">B8-B12</f>
        <v>0</v>
      </c>
      <c r="C13" s="33">
        <f t="shared" si="3"/>
        <v>0</v>
      </c>
      <c r="D13" s="33">
        <f t="shared" si="3"/>
        <v>0</v>
      </c>
      <c r="E13" s="33">
        <f t="shared" si="3"/>
        <v>0</v>
      </c>
      <c r="F13" s="33">
        <f t="shared" si="3"/>
        <v>0</v>
      </c>
      <c r="G13" s="33">
        <f t="shared" si="3"/>
        <v>0</v>
      </c>
      <c r="H13" s="33">
        <f t="shared" si="3"/>
        <v>0</v>
      </c>
      <c r="I13" s="33">
        <f t="shared" si="3"/>
        <v>0</v>
      </c>
      <c r="J13" s="33">
        <f t="shared" si="3"/>
        <v>0</v>
      </c>
      <c r="K13" s="33">
        <f t="shared" si="3"/>
        <v>0</v>
      </c>
      <c r="L13" s="33">
        <f t="shared" si="3"/>
        <v>0</v>
      </c>
      <c r="M13" s="33">
        <f t="shared" si="3"/>
        <v>0</v>
      </c>
      <c r="N13" s="34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2024.0</v>
      </c>
      <c r="C15" s="7">
        <v>2024.0</v>
      </c>
      <c r="D15" s="7">
        <v>2024.0</v>
      </c>
      <c r="E15" s="7">
        <v>2024.0</v>
      </c>
      <c r="F15" s="7">
        <v>2024.0</v>
      </c>
      <c r="G15" s="7">
        <v>2024.0</v>
      </c>
      <c r="H15" s="7">
        <v>2024.0</v>
      </c>
      <c r="I15" s="7">
        <v>2024.0</v>
      </c>
      <c r="J15" s="7">
        <v>2024.0</v>
      </c>
      <c r="K15" s="7">
        <v>2024.0</v>
      </c>
      <c r="L15" s="7">
        <v>2024.0</v>
      </c>
      <c r="M15" s="7">
        <v>2024.0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5" t="s">
        <v>42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37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8" t="s">
        <v>23</v>
      </c>
      <c r="B18" s="12"/>
      <c r="C18" s="12"/>
      <c r="D18" s="12"/>
      <c r="E18" s="12"/>
      <c r="F18" s="12"/>
      <c r="G18" s="12"/>
      <c r="H18" s="12"/>
      <c r="I18" s="12"/>
      <c r="J18" s="12"/>
      <c r="K18" s="30"/>
      <c r="L18" s="13"/>
      <c r="M18" s="13"/>
      <c r="N18" s="37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9" t="s">
        <v>24</v>
      </c>
      <c r="B19" s="12"/>
      <c r="C19" s="12"/>
      <c r="D19" s="12"/>
      <c r="E19" s="12"/>
      <c r="F19" s="12"/>
      <c r="G19" s="12"/>
      <c r="H19" s="12"/>
      <c r="I19" s="12"/>
      <c r="J19" s="12"/>
      <c r="K19" s="30"/>
      <c r="L19" s="13"/>
      <c r="M19" s="13"/>
      <c r="N19" s="37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8" t="s">
        <v>25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37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9" t="s">
        <v>26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37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2" t="s">
        <v>27</v>
      </c>
      <c r="B22" s="12"/>
      <c r="C22" s="12"/>
      <c r="D22" s="12"/>
      <c r="E22" s="12"/>
      <c r="F22" s="43"/>
      <c r="G22" s="43"/>
      <c r="H22" s="43"/>
      <c r="I22" s="44"/>
      <c r="J22" s="43"/>
      <c r="K22" s="43"/>
      <c r="L22" s="43"/>
      <c r="M22" s="43"/>
      <c r="N22" s="37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5" t="s">
        <v>28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45"/>
      <c r="N23" s="37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5" t="s">
        <v>30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45"/>
      <c r="N24" s="37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5" t="s">
        <v>32</v>
      </c>
      <c r="B25" s="12"/>
      <c r="C25" s="12"/>
      <c r="D25" s="12"/>
      <c r="E25" s="12"/>
      <c r="F25" s="12"/>
      <c r="G25" s="12"/>
      <c r="H25" s="12"/>
      <c r="I25" s="12"/>
      <c r="J25" s="12"/>
      <c r="K25" s="30"/>
      <c r="L25" s="13"/>
      <c r="M25" s="13"/>
      <c r="N25" s="37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6" t="s">
        <v>33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37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2" t="s">
        <v>34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37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9" t="s">
        <v>35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37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73" t="s">
        <v>43</v>
      </c>
      <c r="B29" s="43"/>
      <c r="C29" s="43"/>
      <c r="D29" s="43"/>
      <c r="E29" s="43"/>
      <c r="F29" s="43"/>
      <c r="G29" s="43"/>
      <c r="H29" s="43"/>
      <c r="I29" s="44"/>
      <c r="J29" s="43"/>
      <c r="K29" s="43"/>
      <c r="L29" s="43"/>
      <c r="M29" s="43"/>
      <c r="N29" s="37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4" t="s">
        <v>36</v>
      </c>
      <c r="B30" s="47">
        <f t="shared" ref="B30:M30" si="6">SUM(B17:B29)</f>
        <v>0</v>
      </c>
      <c r="C30" s="47">
        <f t="shared" si="6"/>
        <v>0</v>
      </c>
      <c r="D30" s="47">
        <f t="shared" si="6"/>
        <v>0</v>
      </c>
      <c r="E30" s="47">
        <f t="shared" si="6"/>
        <v>0</v>
      </c>
      <c r="F30" s="47">
        <f t="shared" si="6"/>
        <v>0</v>
      </c>
      <c r="G30" s="47">
        <f t="shared" si="6"/>
        <v>0</v>
      </c>
      <c r="H30" s="47">
        <f t="shared" si="6"/>
        <v>0</v>
      </c>
      <c r="I30" s="47">
        <f t="shared" si="6"/>
        <v>0</v>
      </c>
      <c r="J30" s="47">
        <f t="shared" si="6"/>
        <v>0</v>
      </c>
      <c r="K30" s="47">
        <f t="shared" si="6"/>
        <v>0</v>
      </c>
      <c r="L30" s="47">
        <f t="shared" si="6"/>
        <v>0</v>
      </c>
      <c r="M30" s="47">
        <f t="shared" si="6"/>
        <v>0</v>
      </c>
      <c r="N30" s="48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9"/>
      <c r="F31" s="49"/>
      <c r="G31" s="49"/>
      <c r="H31" s="49"/>
      <c r="I31" s="49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37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50" t="s">
        <v>38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4" t="s">
        <v>39</v>
      </c>
      <c r="B33" s="51">
        <f t="shared" ref="B33:M33" si="7">MINUS(B13,B30)</f>
        <v>0</v>
      </c>
      <c r="C33" s="51">
        <f t="shared" si="7"/>
        <v>0</v>
      </c>
      <c r="D33" s="51">
        <f t="shared" si="7"/>
        <v>0</v>
      </c>
      <c r="E33" s="51">
        <f t="shared" si="7"/>
        <v>0</v>
      </c>
      <c r="F33" s="51">
        <f t="shared" si="7"/>
        <v>0</v>
      </c>
      <c r="G33" s="51">
        <f t="shared" si="7"/>
        <v>0</v>
      </c>
      <c r="H33" s="51">
        <f t="shared" si="7"/>
        <v>0</v>
      </c>
      <c r="I33" s="51">
        <f t="shared" si="7"/>
        <v>0</v>
      </c>
      <c r="J33" s="51">
        <f t="shared" si="7"/>
        <v>0</v>
      </c>
      <c r="K33" s="51">
        <f t="shared" si="7"/>
        <v>0</v>
      </c>
      <c r="L33" s="51">
        <f t="shared" si="7"/>
        <v>0</v>
      </c>
      <c r="M33" s="51">
        <f t="shared" si="7"/>
        <v>0</v>
      </c>
      <c r="N33" s="52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4" t="s">
        <v>40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5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41</v>
      </c>
      <c r="B38" s="55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44</v>
      </c>
      <c r="B39" s="56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5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5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9"/>
      <c r="B47" s="2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9"/>
      <c r="B48" s="5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8"/>
      <c r="B50" s="5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9"/>
      <c r="B51" s="6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2023.0</v>
      </c>
      <c r="C3" s="7">
        <v>2023.0</v>
      </c>
      <c r="D3" s="7">
        <v>2023.0</v>
      </c>
      <c r="E3" s="7">
        <v>2023.0</v>
      </c>
      <c r="F3" s="7">
        <v>2023.0</v>
      </c>
      <c r="G3" s="7">
        <v>2023.0</v>
      </c>
      <c r="H3" s="7">
        <v>2023.0</v>
      </c>
      <c r="I3" s="7">
        <v>2023.0</v>
      </c>
      <c r="J3" s="7">
        <v>2023.0</v>
      </c>
      <c r="K3" s="7">
        <v>2023.0</v>
      </c>
      <c r="L3" s="7">
        <v>2023.0</v>
      </c>
      <c r="M3" s="7">
        <v>2023.0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4"/>
      <c r="D5" s="13"/>
      <c r="E5" s="14"/>
      <c r="F5" s="14"/>
      <c r="G5" s="15"/>
      <c r="H5" s="16"/>
      <c r="I5" s="16"/>
      <c r="J5" s="17"/>
      <c r="K5" s="16"/>
      <c r="L5" s="15"/>
      <c r="M5" s="15"/>
      <c r="N5" s="18">
        <f t="shared" ref="N5:N8" si="1">SUM(B5:M5)</f>
        <v>0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11"/>
      <c r="C6" s="14"/>
      <c r="D6" s="13"/>
      <c r="E6" s="14"/>
      <c r="F6" s="13"/>
      <c r="G6" s="14"/>
      <c r="H6" s="15"/>
      <c r="I6" s="15"/>
      <c r="J6" s="20"/>
      <c r="K6" s="12"/>
      <c r="L6" s="15"/>
      <c r="M6" s="15"/>
      <c r="N6" s="18">
        <f t="shared" si="1"/>
        <v>0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18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4" t="s">
        <v>17</v>
      </c>
      <c r="B8" s="25">
        <f t="shared" ref="B8:M8" si="2">B5-B6-B7</f>
        <v>0</v>
      </c>
      <c r="C8" s="25">
        <f t="shared" si="2"/>
        <v>0</v>
      </c>
      <c r="D8" s="25">
        <f t="shared" si="2"/>
        <v>0</v>
      </c>
      <c r="E8" s="25">
        <f t="shared" si="2"/>
        <v>0</v>
      </c>
      <c r="F8" s="25">
        <f t="shared" si="2"/>
        <v>0</v>
      </c>
      <c r="G8" s="25">
        <f t="shared" si="2"/>
        <v>0</v>
      </c>
      <c r="H8" s="25">
        <f t="shared" si="2"/>
        <v>0</v>
      </c>
      <c r="I8" s="25">
        <f t="shared" si="2"/>
        <v>0</v>
      </c>
      <c r="J8" s="25">
        <f t="shared" si="2"/>
        <v>0</v>
      </c>
      <c r="K8" s="25">
        <f t="shared" si="2"/>
        <v>0</v>
      </c>
      <c r="L8" s="25">
        <f t="shared" si="2"/>
        <v>0</v>
      </c>
      <c r="M8" s="25">
        <f t="shared" si="2"/>
        <v>0</v>
      </c>
      <c r="N8" s="26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2023.0</v>
      </c>
      <c r="C10" s="7">
        <v>2023.0</v>
      </c>
      <c r="D10" s="7">
        <v>2023.0</v>
      </c>
      <c r="E10" s="7">
        <v>2023.0</v>
      </c>
      <c r="F10" s="7">
        <v>2023.0</v>
      </c>
      <c r="G10" s="7">
        <v>2023.0</v>
      </c>
      <c r="H10" s="7">
        <v>2023.0</v>
      </c>
      <c r="I10" s="7">
        <v>2023.0</v>
      </c>
      <c r="J10" s="7">
        <v>2023.0</v>
      </c>
      <c r="K10" s="7">
        <v>2023.0</v>
      </c>
      <c r="L10" s="7">
        <v>2023.0</v>
      </c>
      <c r="M10" s="7">
        <v>2023.0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19</v>
      </c>
      <c r="B12" s="28"/>
      <c r="C12" s="28"/>
      <c r="D12" s="28"/>
      <c r="E12" s="28"/>
      <c r="F12" s="28"/>
      <c r="G12" s="28"/>
      <c r="H12" s="29"/>
      <c r="I12" s="28"/>
      <c r="J12" s="28"/>
      <c r="K12" s="30"/>
      <c r="L12" s="13"/>
      <c r="M12" s="31"/>
      <c r="N12" s="32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4" t="s">
        <v>20</v>
      </c>
      <c r="B13" s="33">
        <f t="shared" ref="B13:M13" si="3">B8-B12</f>
        <v>0</v>
      </c>
      <c r="C13" s="33">
        <f t="shared" si="3"/>
        <v>0</v>
      </c>
      <c r="D13" s="33">
        <f t="shared" si="3"/>
        <v>0</v>
      </c>
      <c r="E13" s="33">
        <f t="shared" si="3"/>
        <v>0</v>
      </c>
      <c r="F13" s="33">
        <f t="shared" si="3"/>
        <v>0</v>
      </c>
      <c r="G13" s="33">
        <f t="shared" si="3"/>
        <v>0</v>
      </c>
      <c r="H13" s="33">
        <f t="shared" si="3"/>
        <v>0</v>
      </c>
      <c r="I13" s="33">
        <f t="shared" si="3"/>
        <v>0</v>
      </c>
      <c r="J13" s="33">
        <f t="shared" si="3"/>
        <v>0</v>
      </c>
      <c r="K13" s="33">
        <f t="shared" si="3"/>
        <v>0</v>
      </c>
      <c r="L13" s="33">
        <f t="shared" si="3"/>
        <v>0</v>
      </c>
      <c r="M13" s="33">
        <f t="shared" si="3"/>
        <v>0</v>
      </c>
      <c r="N13" s="34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2023.0</v>
      </c>
      <c r="C15" s="7">
        <v>2023.0</v>
      </c>
      <c r="D15" s="7">
        <v>2023.0</v>
      </c>
      <c r="E15" s="7">
        <v>2023.0</v>
      </c>
      <c r="F15" s="7">
        <v>2023.0</v>
      </c>
      <c r="G15" s="7">
        <v>2023.0</v>
      </c>
      <c r="H15" s="7">
        <v>2023.0</v>
      </c>
      <c r="I15" s="7">
        <v>2023.0</v>
      </c>
      <c r="J15" s="7">
        <v>2023.0</v>
      </c>
      <c r="K15" s="7">
        <v>2023.0</v>
      </c>
      <c r="L15" s="7">
        <v>2023.0</v>
      </c>
      <c r="M15" s="7">
        <v>2023.0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5" t="s">
        <v>42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37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8" t="s">
        <v>23</v>
      </c>
      <c r="B18" s="12"/>
      <c r="C18" s="12"/>
      <c r="D18" s="12"/>
      <c r="E18" s="12"/>
      <c r="F18" s="12"/>
      <c r="G18" s="12"/>
      <c r="H18" s="12"/>
      <c r="I18" s="12"/>
      <c r="J18" s="12"/>
      <c r="K18" s="30"/>
      <c r="L18" s="13"/>
      <c r="M18" s="13"/>
      <c r="N18" s="37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9" t="s">
        <v>24</v>
      </c>
      <c r="B19" s="12"/>
      <c r="C19" s="12"/>
      <c r="D19" s="12"/>
      <c r="E19" s="12"/>
      <c r="F19" s="12"/>
      <c r="G19" s="12"/>
      <c r="H19" s="12"/>
      <c r="I19" s="12"/>
      <c r="J19" s="12"/>
      <c r="K19" s="30"/>
      <c r="L19" s="13"/>
      <c r="M19" s="13"/>
      <c r="N19" s="37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8" t="s">
        <v>25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37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9" t="s">
        <v>26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37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2" t="s">
        <v>27</v>
      </c>
      <c r="B22" s="12"/>
      <c r="C22" s="12"/>
      <c r="D22" s="12"/>
      <c r="E22" s="12"/>
      <c r="F22" s="43"/>
      <c r="G22" s="43"/>
      <c r="H22" s="43"/>
      <c r="I22" s="44"/>
      <c r="J22" s="43"/>
      <c r="K22" s="43"/>
      <c r="L22" s="43"/>
      <c r="M22" s="43"/>
      <c r="N22" s="37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5" t="s">
        <v>28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45"/>
      <c r="N23" s="37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5" t="s">
        <v>30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45"/>
      <c r="N24" s="37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5" t="s">
        <v>32</v>
      </c>
      <c r="B25" s="12"/>
      <c r="C25" s="12"/>
      <c r="D25" s="12"/>
      <c r="E25" s="12"/>
      <c r="F25" s="12"/>
      <c r="G25" s="12"/>
      <c r="H25" s="12"/>
      <c r="I25" s="12"/>
      <c r="J25" s="12"/>
      <c r="K25" s="30"/>
      <c r="L25" s="13"/>
      <c r="M25" s="13"/>
      <c r="N25" s="37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6" t="s">
        <v>33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37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2" t="s">
        <v>34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37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9" t="s">
        <v>35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37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73" t="s">
        <v>43</v>
      </c>
      <c r="B29" s="43"/>
      <c r="C29" s="43"/>
      <c r="D29" s="43"/>
      <c r="E29" s="43"/>
      <c r="F29" s="43"/>
      <c r="G29" s="43"/>
      <c r="H29" s="43"/>
      <c r="I29" s="44"/>
      <c r="J29" s="43"/>
      <c r="K29" s="43"/>
      <c r="L29" s="43"/>
      <c r="M29" s="43"/>
      <c r="N29" s="37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4" t="s">
        <v>36</v>
      </c>
      <c r="B30" s="47">
        <f t="shared" ref="B30:M30" si="6">SUM(B17:B29)</f>
        <v>0</v>
      </c>
      <c r="C30" s="47">
        <f t="shared" si="6"/>
        <v>0</v>
      </c>
      <c r="D30" s="47">
        <f t="shared" si="6"/>
        <v>0</v>
      </c>
      <c r="E30" s="47">
        <f t="shared" si="6"/>
        <v>0</v>
      </c>
      <c r="F30" s="47">
        <f t="shared" si="6"/>
        <v>0</v>
      </c>
      <c r="G30" s="47">
        <f t="shared" si="6"/>
        <v>0</v>
      </c>
      <c r="H30" s="47">
        <f t="shared" si="6"/>
        <v>0</v>
      </c>
      <c r="I30" s="47">
        <f t="shared" si="6"/>
        <v>0</v>
      </c>
      <c r="J30" s="47">
        <f t="shared" si="6"/>
        <v>0</v>
      </c>
      <c r="K30" s="47">
        <f t="shared" si="6"/>
        <v>0</v>
      </c>
      <c r="L30" s="47">
        <f t="shared" si="6"/>
        <v>0</v>
      </c>
      <c r="M30" s="47">
        <f t="shared" si="6"/>
        <v>0</v>
      </c>
      <c r="N30" s="48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9"/>
      <c r="F31" s="49"/>
      <c r="G31" s="49"/>
      <c r="H31" s="49"/>
      <c r="I31" s="49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37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50" t="s">
        <v>38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4" t="s">
        <v>39</v>
      </c>
      <c r="B33" s="51">
        <f t="shared" ref="B33:M33" si="7">MINUS(B13,B30)</f>
        <v>0</v>
      </c>
      <c r="C33" s="51">
        <f t="shared" si="7"/>
        <v>0</v>
      </c>
      <c r="D33" s="51">
        <f t="shared" si="7"/>
        <v>0</v>
      </c>
      <c r="E33" s="51">
        <f t="shared" si="7"/>
        <v>0</v>
      </c>
      <c r="F33" s="51">
        <f t="shared" si="7"/>
        <v>0</v>
      </c>
      <c r="G33" s="51">
        <f t="shared" si="7"/>
        <v>0</v>
      </c>
      <c r="H33" s="51">
        <f t="shared" si="7"/>
        <v>0</v>
      </c>
      <c r="I33" s="51">
        <f t="shared" si="7"/>
        <v>0</v>
      </c>
      <c r="J33" s="51">
        <f t="shared" si="7"/>
        <v>0</v>
      </c>
      <c r="K33" s="51">
        <f t="shared" si="7"/>
        <v>0</v>
      </c>
      <c r="L33" s="51">
        <f t="shared" si="7"/>
        <v>0</v>
      </c>
      <c r="M33" s="51">
        <f t="shared" si="7"/>
        <v>0</v>
      </c>
      <c r="N33" s="52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4" t="s">
        <v>40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5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41</v>
      </c>
      <c r="B38" s="55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44</v>
      </c>
      <c r="B39" s="56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5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5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9"/>
      <c r="B47" s="2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9"/>
      <c r="B48" s="5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8"/>
      <c r="B50" s="5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9"/>
      <c r="B51" s="6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