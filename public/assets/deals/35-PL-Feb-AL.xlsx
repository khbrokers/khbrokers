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" sheetId="1" r:id="rId4"/>
  </sheets>
  <definedNames/>
  <calcPr/>
  <extLst>
    <ext uri="GoogleSheetsCustomDataVersion2">
      <go:sheetsCustomData xmlns:go="http://customooxmlschemas.google.com/" r:id="rId5" roundtripDataChecksum="mY3bgXVbk7c9Q/TB/QHQ8m7pTjOdzYkEUhlh/70cth0="/>
    </ext>
  </extLst>
</workbook>
</file>

<file path=xl/sharedStrings.xml><?xml version="1.0" encoding="utf-8"?>
<sst xmlns="http://schemas.openxmlformats.org/spreadsheetml/2006/main" count="112" uniqueCount="43">
  <si>
    <t>2026</t>
  </si>
  <si>
    <t>2025</t>
  </si>
  <si>
    <t>Income</t>
  </si>
  <si>
    <t>January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</si>
  <si>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</si>
  <si>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</si>
  <si>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</si>
  <si>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</si>
  <si>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</si>
  <si>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</si>
  <si>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</si>
  <si>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</si>
  <si>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</si>
  <si>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</si>
  <si>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</si>
  <si>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</si>
  <si>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</si>
  <si>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</si>
  <si>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</si>
  <si>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</si>
  <si>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</si>
  <si>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>Gross Profit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</si>
  <si>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</si>
  <si>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</si>
  <si>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</si>
  <si>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</si>
  <si>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</si>
  <si>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</si>
  <si>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</si>
  <si>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</si>
  <si>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>Shopify Bill</t>
  </si>
  <si>
    <t>(Klaviyo, TripleWhale)</t>
  </si>
  <si>
    <t>3rd Party Softwares</t>
  </si>
  <si>
    <t>Virtual Assistant(s)</t>
  </si>
  <si>
    <t>Ad Agency Fee</t>
  </si>
  <si>
    <t>Ad Spend (Combined)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</si>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</sst>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A235A"/>
        <bgColor rgb="FF4A235A"/>
      </patternFill>
    </fill>
    <fill>
      <patternFill patternType="solid">
        <fgColor rgb="FF008080"/>
        <bgColor rgb="FF008080"/>
      </patternFill>
    </fill>
    <fill>
      <patternFill patternType="solid">
        <fgColor rgb="FF006666"/>
        <bgColor rgb="FF0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14" width="14.0"/>
    <col customWidth="1" min="15" max="26" width="8.71"/>
  </cols>
  <sheetData>
    <row r="3">
      <c r="B3" s="1" t="s">
        <v>0</v>
      </c>
      <c r="C3" s="1" t="s">
        <v>0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/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>
      <c r="A5" s="2" t="s">
        <v>15</v>
      </c>
      <c r="B5" s="3">
        <v>6078.55</v>
      </c>
      <c r="C5" s="3">
        <v>4124.06</v>
      </c>
      <c r="D5" s="3">
        <v>24429.09</v>
      </c>
      <c r="E5" s="3">
        <v>35902.43</v>
      </c>
      <c r="F5" s="3">
        <v>20288.56</v>
      </c>
      <c r="G5" s="3">
        <v>18502.38</v>
      </c>
      <c r="H5" s="3">
        <v>16541.95</v>
      </c>
      <c r="I5" s="3">
        <v>17695.96</v>
      </c>
      <c r="J5" s="3">
        <v>15860.34</v>
      </c>
      <c r="K5" s="3">
        <v>14439.79</v>
      </c>
      <c r="L5" s="3">
        <v>8196.88</v>
      </c>
      <c r="N5" s="3">
        <f t="shared" ref="N5:N8" si="1">SUM(B5:M5)</f>
        <v>182059.99</v>
      </c>
    </row>
    <row r="6">
      <c r="A6" s="4" t="s">
        <v>16</v>
      </c>
      <c r="B6" s="3">
        <v>-146.95</v>
      </c>
      <c r="C6" s="3">
        <v>-110.96</v>
      </c>
      <c r="D6" s="3">
        <v>-191.97</v>
      </c>
      <c r="E6" s="3">
        <v>-2196.26</v>
      </c>
      <c r="F6" s="3">
        <v>-3576.16</v>
      </c>
      <c r="G6" s="3">
        <v>-1357.51</v>
      </c>
      <c r="H6" s="3">
        <v>-345.89</v>
      </c>
      <c r="I6" s="3">
        <v>-537.0</v>
      </c>
      <c r="J6" s="3">
        <v>-863.7</v>
      </c>
      <c r="K6" s="3">
        <v>-255.13</v>
      </c>
      <c r="L6" s="3">
        <v>-251.94</v>
      </c>
      <c r="N6" s="5">
        <f t="shared" si="1"/>
        <v>-9833.47</v>
      </c>
    </row>
    <row r="7">
      <c r="A7" s="4" t="s">
        <v>17</v>
      </c>
      <c r="B7" s="4"/>
      <c r="C7" s="4"/>
      <c r="D7" s="4"/>
      <c r="E7" s="3">
        <v>-201.93</v>
      </c>
      <c r="F7" s="3">
        <v>-374.85</v>
      </c>
      <c r="G7" s="3">
        <v>-446.83</v>
      </c>
      <c r="H7" s="4"/>
      <c r="I7" s="4"/>
      <c r="J7" s="3">
        <v>-152.94</v>
      </c>
      <c r="K7" s="3">
        <v>-196.94</v>
      </c>
      <c r="L7" s="3">
        <v>-74.98</v>
      </c>
      <c r="N7" s="5">
        <f t="shared" si="1"/>
        <v>-1448.47</v>
      </c>
    </row>
    <row r="8">
      <c r="A8" s="2" t="s">
        <v>18</v>
      </c>
      <c r="B8" s="6">
        <f t="shared" ref="B8:M8" si="2">SUM(B5:B7)</f>
        <v>5931.6</v>
      </c>
      <c r="C8" s="6">
        <f t="shared" si="2"/>
        <v>4013.1</v>
      </c>
      <c r="D8" s="6">
        <f t="shared" si="2"/>
        <v>24237.12</v>
      </c>
      <c r="E8" s="6">
        <f t="shared" si="2"/>
        <v>33504.24</v>
      </c>
      <c r="F8" s="6">
        <f t="shared" si="2"/>
        <v>16337.55</v>
      </c>
      <c r="G8" s="6">
        <f t="shared" si="2"/>
        <v>16698.04</v>
      </c>
      <c r="H8" s="6">
        <f t="shared" si="2"/>
        <v>16196.06</v>
      </c>
      <c r="I8" s="6">
        <f t="shared" si="2"/>
        <v>17158.96</v>
      </c>
      <c r="J8" s="6">
        <f t="shared" si="2"/>
        <v>14843.7</v>
      </c>
      <c r="K8" s="6">
        <f t="shared" si="2"/>
        <v>13987.72</v>
      </c>
      <c r="L8" s="6">
        <f t="shared" si="2"/>
        <v>7869.96</v>
      </c>
      <c r="M8" s="6">
        <f t="shared" si="2"/>
        <v>0</v>
      </c>
      <c r="N8" s="6">
        <f t="shared" si="1"/>
        <v>170778.05</v>
      </c>
    </row>
    <row r="10">
      <c r="B10" s="7" t="s">
        <v>0</v>
      </c>
      <c r="C10" s="7" t="s">
        <v>0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1</v>
      </c>
      <c r="M10" s="7"/>
    </row>
    <row r="11">
      <c r="A11" s="7" t="s">
        <v>19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7" t="s">
        <v>14</v>
      </c>
    </row>
    <row r="12">
      <c r="A12" s="4" t="s">
        <v>20</v>
      </c>
      <c r="B12" s="3">
        <v>1749.2</v>
      </c>
      <c r="C12" s="3">
        <v>1186.76</v>
      </c>
      <c r="D12" s="3">
        <v>5689.2</v>
      </c>
      <c r="E12" s="3">
        <v>9400.0</v>
      </c>
      <c r="F12" s="3">
        <v>5715.8</v>
      </c>
      <c r="G12" s="3">
        <v>5047.0</v>
      </c>
      <c r="H12" s="3">
        <v>4568.6</v>
      </c>
      <c r="I12" s="3">
        <v>5024.0</v>
      </c>
      <c r="J12" s="3">
        <v>4788.0</v>
      </c>
      <c r="K12" s="3">
        <v>4286.8</v>
      </c>
      <c r="L12" s="3">
        <v>2427.4</v>
      </c>
      <c r="N12" s="5">
        <f t="shared" ref="N12:N13" si="4">SUM(B12:M12)</f>
        <v>49882.76</v>
      </c>
    </row>
    <row r="13">
      <c r="A13" s="2" t="s">
        <v>21</v>
      </c>
      <c r="B13" s="6">
        <f t="shared" ref="B13:M13" si="3">B8-B12</f>
        <v>4182.4</v>
      </c>
      <c r="C13" s="6">
        <f t="shared" si="3"/>
        <v>2826.34</v>
      </c>
      <c r="D13" s="6">
        <f t="shared" si="3"/>
        <v>18547.92</v>
      </c>
      <c r="E13" s="6">
        <f t="shared" si="3"/>
        <v>24104.24</v>
      </c>
      <c r="F13" s="6">
        <f t="shared" si="3"/>
        <v>10621.75</v>
      </c>
      <c r="G13" s="6">
        <f t="shared" si="3"/>
        <v>11651.04</v>
      </c>
      <c r="H13" s="6">
        <f t="shared" si="3"/>
        <v>11627.46</v>
      </c>
      <c r="I13" s="6">
        <f t="shared" si="3"/>
        <v>12134.96</v>
      </c>
      <c r="J13" s="6">
        <f t="shared" si="3"/>
        <v>10055.7</v>
      </c>
      <c r="K13" s="6">
        <f t="shared" si="3"/>
        <v>9700.92</v>
      </c>
      <c r="L13" s="6">
        <f t="shared" si="3"/>
        <v>5442.56</v>
      </c>
      <c r="M13" s="6">
        <f t="shared" si="3"/>
        <v>0</v>
      </c>
      <c r="N13" s="6">
        <f t="shared" si="4"/>
        <v>120895.29</v>
      </c>
    </row>
    <row r="15">
      <c r="B15" s="8" t="s">
        <v>0</v>
      </c>
      <c r="C15" s="8" t="s">
        <v>0</v>
      </c>
      <c r="D15" s="8" t="s">
        <v>1</v>
      </c>
      <c r="E15" s="8" t="s">
        <v>1</v>
      </c>
      <c r="F15" s="8" t="s">
        <v>1</v>
      </c>
      <c r="G15" s="8" t="s">
        <v>1</v>
      </c>
      <c r="H15" s="8" t="s">
        <v>1</v>
      </c>
      <c r="I15" s="8" t="s">
        <v>1</v>
      </c>
      <c r="J15" s="8" t="s">
        <v>1</v>
      </c>
      <c r="K15" s="8" t="s">
        <v>1</v>
      </c>
      <c r="L15" s="8" t="s">
        <v>1</v>
      </c>
      <c r="M15" s="8"/>
    </row>
    <row r="16">
      <c r="A16" s="8" t="s">
        <v>22</v>
      </c>
      <c r="B16" s="8" t="s">
        <v>3</v>
      </c>
      <c r="C16" s="8" t="s">
        <v>4</v>
      </c>
      <c r="D16" s="8" t="s">
        <v>5</v>
      </c>
      <c r="E16" s="8" t="s">
        <v>6</v>
      </c>
      <c r="F16" s="8" t="s">
        <v>7</v>
      </c>
      <c r="G16" s="8" t="s">
        <v>8</v>
      </c>
      <c r="H16" s="8" t="s">
        <v>9</v>
      </c>
      <c r="I16" s="8" t="s">
        <v>10</v>
      </c>
      <c r="J16" s="8" t="s">
        <v>11</v>
      </c>
      <c r="K16" s="8" t="s">
        <v>12</v>
      </c>
      <c r="L16" s="8" t="s">
        <v>13</v>
      </c>
      <c r="M16" s="8" t="s">
        <v>14</v>
      </c>
    </row>
    <row r="17">
      <c r="A17" s="4" t="s">
        <v>23</v>
      </c>
      <c r="N17" s="5">
        <f t="shared" ref="N17:N29" si="5">SUM(B17:M17)</f>
        <v>0</v>
      </c>
    </row>
    <row r="18">
      <c r="A18" s="4" t="s">
        <v>24</v>
      </c>
      <c r="N18" s="5">
        <f t="shared" si="5"/>
        <v>0</v>
      </c>
    </row>
    <row r="19">
      <c r="A19" s="4" t="s">
        <v>25</v>
      </c>
      <c r="N19" s="5">
        <f t="shared" si="5"/>
        <v>0</v>
      </c>
    </row>
    <row r="20">
      <c r="A20" s="4" t="s">
        <v>26</v>
      </c>
      <c r="N20" s="5">
        <f t="shared" si="5"/>
        <v>0</v>
      </c>
    </row>
    <row r="21" ht="15.75" customHeight="1">
      <c r="A21" s="4" t="s">
        <v>27</v>
      </c>
      <c r="N21" s="5">
        <f t="shared" si="5"/>
        <v>0</v>
      </c>
    </row>
    <row r="22" ht="15.75" customHeight="1">
      <c r="A22" s="4" t="s">
        <v>28</v>
      </c>
      <c r="B22" s="3">
        <v>254.08</v>
      </c>
      <c r="C22" s="3">
        <v>165.56</v>
      </c>
      <c r="D22" s="3">
        <v>1021.13</v>
      </c>
      <c r="E22" s="3">
        <v>1500.71</v>
      </c>
      <c r="F22" s="3">
        <v>848.05</v>
      </c>
      <c r="G22" s="3">
        <v>773.39</v>
      </c>
      <c r="H22" s="3">
        <v>691.45</v>
      </c>
      <c r="I22" s="3">
        <v>739.68</v>
      </c>
      <c r="J22" s="3">
        <v>662.96</v>
      </c>
      <c r="K22" s="3">
        <v>603.58</v>
      </c>
      <c r="L22" s="3">
        <v>342.63</v>
      </c>
      <c r="N22" s="5">
        <f t="shared" si="5"/>
        <v>7603.22</v>
      </c>
    </row>
    <row r="23" ht="15.75" customHeight="1">
      <c r="A23" s="4" t="s">
        <v>29</v>
      </c>
      <c r="D23" s="3">
        <v>350.0</v>
      </c>
      <c r="E23" s="3">
        <v>350.0</v>
      </c>
      <c r="F23" s="3">
        <v>350.0</v>
      </c>
      <c r="G23" s="3">
        <v>350.0</v>
      </c>
      <c r="H23" s="3">
        <v>350.0</v>
      </c>
      <c r="N23" s="5">
        <f t="shared" si="5"/>
        <v>1750</v>
      </c>
    </row>
    <row r="24" ht="15.75" customHeight="1">
      <c r="A24" s="4" t="s">
        <v>30</v>
      </c>
      <c r="B24" s="3">
        <v>286.25</v>
      </c>
      <c r="D24" s="3">
        <v>149.97</v>
      </c>
      <c r="E24" s="3">
        <v>160.91</v>
      </c>
      <c r="F24" s="3">
        <v>205.92</v>
      </c>
      <c r="G24" s="3">
        <v>290.38</v>
      </c>
      <c r="H24" s="3">
        <v>305.06</v>
      </c>
      <c r="I24" s="3">
        <v>342.25</v>
      </c>
      <c r="J24" s="3">
        <v>289.34</v>
      </c>
      <c r="K24" s="3">
        <v>261.74</v>
      </c>
      <c r="L24" s="3">
        <v>335.9</v>
      </c>
      <c r="N24" s="5">
        <f t="shared" si="5"/>
        <v>2627.72</v>
      </c>
    </row>
    <row r="25" ht="15.75" customHeight="1">
      <c r="A25" s="4" t="s">
        <v>31</v>
      </c>
      <c r="N25" s="5">
        <f t="shared" si="5"/>
        <v>0</v>
      </c>
    </row>
    <row r="26" ht="15.75" customHeight="1">
      <c r="A26" s="4" t="s">
        <v>32</v>
      </c>
      <c r="N26" s="5">
        <f t="shared" si="5"/>
        <v>0</v>
      </c>
    </row>
    <row r="27" ht="15.75" customHeight="1">
      <c r="A27" s="4" t="s">
        <v>33</v>
      </c>
      <c r="B27" s="3">
        <v>200.0</v>
      </c>
      <c r="C27" s="3">
        <v>200.0</v>
      </c>
      <c r="D27" s="3">
        <v>300.0</v>
      </c>
      <c r="E27" s="3">
        <v>300.0</v>
      </c>
      <c r="F27" s="3">
        <v>300.0</v>
      </c>
      <c r="G27" s="3">
        <v>300.0</v>
      </c>
      <c r="H27" s="3">
        <v>300.0</v>
      </c>
      <c r="I27" s="3">
        <v>300.0</v>
      </c>
      <c r="J27" s="3">
        <v>300.0</v>
      </c>
      <c r="K27" s="3">
        <v>200.0</v>
      </c>
      <c r="L27" s="3">
        <v>200.0</v>
      </c>
      <c r="N27" s="5">
        <f t="shared" si="5"/>
        <v>2900</v>
      </c>
    </row>
    <row r="28" ht="15.75" customHeight="1">
      <c r="A28" s="4" t="s">
        <v>34</v>
      </c>
      <c r="D28" s="3">
        <v>300.0</v>
      </c>
      <c r="E28" s="3">
        <v>300.0</v>
      </c>
      <c r="F28" s="3">
        <v>300.0</v>
      </c>
      <c r="G28" s="3">
        <v>300.0</v>
      </c>
      <c r="H28" s="3">
        <v>300.0</v>
      </c>
      <c r="I28" s="3">
        <v>300.0</v>
      </c>
      <c r="J28" s="3">
        <v>300.0</v>
      </c>
      <c r="N28" s="5">
        <f t="shared" si="5"/>
        <v>2100</v>
      </c>
    </row>
    <row r="29" ht="15.75" customHeight="1">
      <c r="A29" s="4" t="s">
        <v>35</v>
      </c>
      <c r="D29" s="3">
        <v>19603.44</v>
      </c>
      <c r="E29" s="3">
        <v>22391.3</v>
      </c>
      <c r="F29" s="3">
        <v>961.0</v>
      </c>
      <c r="G29" s="3">
        <v>4300.0</v>
      </c>
      <c r="H29" s="3">
        <v>4300.0</v>
      </c>
      <c r="I29" s="3">
        <v>8000.0</v>
      </c>
      <c r="J29" s="3">
        <v>4250.0</v>
      </c>
      <c r="K29" s="3">
        <v>3200.0</v>
      </c>
      <c r="N29" s="5">
        <f t="shared" si="5"/>
        <v>67005.74</v>
      </c>
    </row>
    <row r="30" ht="15.75" customHeight="1">
      <c r="A30" s="2" t="s">
        <v>36</v>
      </c>
      <c r="B30" s="6">
        <f t="shared" ref="B30:N30" si="6">SUM(B17:B29)</f>
        <v>740.33</v>
      </c>
      <c r="C30" s="6">
        <f t="shared" si="6"/>
        <v>365.56</v>
      </c>
      <c r="D30" s="6">
        <f t="shared" si="6"/>
        <v>21724.54</v>
      </c>
      <c r="E30" s="6">
        <f t="shared" si="6"/>
        <v>25002.92</v>
      </c>
      <c r="F30" s="6">
        <f t="shared" si="6"/>
        <v>2964.97</v>
      </c>
      <c r="G30" s="6">
        <f t="shared" si="6"/>
        <v>6313.77</v>
      </c>
      <c r="H30" s="6">
        <f t="shared" si="6"/>
        <v>6246.51</v>
      </c>
      <c r="I30" s="6">
        <f t="shared" si="6"/>
        <v>9681.93</v>
      </c>
      <c r="J30" s="6">
        <f t="shared" si="6"/>
        <v>5802.3</v>
      </c>
      <c r="K30" s="6">
        <f t="shared" si="6"/>
        <v>4265.32</v>
      </c>
      <c r="L30" s="6">
        <f t="shared" si="6"/>
        <v>878.53</v>
      </c>
      <c r="M30" s="6">
        <f t="shared" si="6"/>
        <v>0</v>
      </c>
      <c r="N30" s="6">
        <f t="shared" si="6"/>
        <v>83986.68</v>
      </c>
    </row>
    <row r="31" ht="15.75" customHeight="1"/>
    <row r="32" ht="15.75" customHeight="1">
      <c r="A32" s="1" t="s">
        <v>37</v>
      </c>
      <c r="B32" s="1" t="s">
        <v>3</v>
      </c>
      <c r="C32" s="1" t="s">
        <v>4</v>
      </c>
      <c r="D32" s="1" t="s">
        <v>5</v>
      </c>
      <c r="E32" s="1" t="s">
        <v>6</v>
      </c>
      <c r="F32" s="1" t="s">
        <v>7</v>
      </c>
      <c r="G32" s="1" t="s">
        <v>8</v>
      </c>
      <c r="H32" s="1" t="s">
        <v>9</v>
      </c>
      <c r="I32" s="1" t="s">
        <v>10</v>
      </c>
      <c r="J32" s="1" t="s">
        <v>11</v>
      </c>
      <c r="K32" s="1" t="s">
        <v>12</v>
      </c>
      <c r="L32" s="1" t="s">
        <v>13</v>
      </c>
      <c r="M32" s="1" t="s">
        <v>38</v>
      </c>
    </row>
    <row r="33" ht="15.75" customHeight="1">
      <c r="A33" s="2" t="s">
        <v>39</v>
      </c>
      <c r="B33" s="6">
        <f t="shared" ref="B33:N33" si="7">B13-B30</f>
        <v>3442.07</v>
      </c>
      <c r="C33" s="6">
        <f t="shared" si="7"/>
        <v>2460.78</v>
      </c>
      <c r="D33" s="6">
        <f t="shared" si="7"/>
        <v>-3176.62</v>
      </c>
      <c r="E33" s="6">
        <f t="shared" si="7"/>
        <v>-898.68</v>
      </c>
      <c r="F33" s="6">
        <f t="shared" si="7"/>
        <v>7656.78</v>
      </c>
      <c r="G33" s="6">
        <f t="shared" si="7"/>
        <v>5337.27</v>
      </c>
      <c r="H33" s="6">
        <f t="shared" si="7"/>
        <v>5380.95</v>
      </c>
      <c r="I33" s="6">
        <f t="shared" si="7"/>
        <v>2453.03</v>
      </c>
      <c r="J33" s="6">
        <f t="shared" si="7"/>
        <v>4253.4</v>
      </c>
      <c r="K33" s="6">
        <f t="shared" si="7"/>
        <v>5435.6</v>
      </c>
      <c r="L33" s="6">
        <f t="shared" si="7"/>
        <v>4564.03</v>
      </c>
      <c r="M33" s="6">
        <f t="shared" si="7"/>
        <v>0</v>
      </c>
      <c r="N33" s="6">
        <f t="shared" si="7"/>
        <v>36908.61</v>
      </c>
    </row>
    <row r="34" ht="15.75" customHeight="1"/>
    <row r="35" ht="15.75" customHeight="1"/>
    <row r="36" ht="15.75" customHeight="1">
      <c r="A36" s="2" t="s">
        <v>40</v>
      </c>
    </row>
    <row r="37" ht="15.75" customHeight="1">
      <c r="A37" s="4" t="s">
        <v>25</v>
      </c>
      <c r="B37" s="5">
        <v>63805.0</v>
      </c>
    </row>
    <row r="38" ht="15.75" customHeight="1">
      <c r="A38" s="4" t="s">
        <v>41</v>
      </c>
      <c r="B38" s="5">
        <v>0.0</v>
      </c>
    </row>
    <row r="39" ht="15.75" customHeight="1">
      <c r="A39" s="4" t="s">
        <v>42</v>
      </c>
      <c r="B39" s="5">
        <v>0.0</v>
      </c>
    </row>
    <row r="40" ht="15.75" customHeight="1">
      <c r="A40" s="4" t="s">
        <v>26</v>
      </c>
      <c r="B40" s="5">
        <v>0.0</v>
      </c>
    </row>
    <row r="41" ht="15.75" customHeight="1">
      <c r="A41" s="4" t="s">
        <v>27</v>
      </c>
      <c r="B41" s="5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