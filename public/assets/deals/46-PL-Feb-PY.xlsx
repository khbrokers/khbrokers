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  <sheet state="visible" name="2025" sheetId="2" r:id="rId6"/>
    <sheet state="visible" name="2026" sheetId="3" r:id="rId7"/>
    <sheet state="visible" name="Totals" sheetId="4" r:id="rId8"/>
  </sheets>
  <definedNames/>
  <calcPr/>
</workbook>
</file>

<file path=xl/sharedStrings.xml><?xml version="1.0" encoding="utf-8"?>
<sst xmlns="http://schemas.openxmlformats.org/spreadsheetml/2006/main" count="271" uniqueCount="51">
  <si>
    <t>Returning Customer Revenue</t>
  </si>
  <si>
    <t xml:space="preserve">Returning Customer Percentage </t>
  </si>
  <si>
    <t>Insert</t>
  </si>
  <si>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</si>
  <si>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</si>
  <si>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</si>
  <si>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</si>
  <si>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</si>
  <si>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</si>
  <si>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</si>
  <si>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</si>
  <si>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</si>
  <si>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</si>
  <si>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</si>
  <si>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</si>
  <si>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</si>
  <si>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</si>
  <si>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Shopify Sales</t>
  </si>
  <si>
    <t>Amazon Sales Payout After Fees</t>
  </si>
  <si>
    <t>Etsy Sales</t>
  </si>
  <si>
    <t>TikTok Shop Sales Payout After Fees</t>
  </si>
  <si>
    <t xml:space="preserve"> </t>
  </si>
  <si>
    <t>Total Income</t>
  </si>
  <si>
    <t>Cost of Goods</t>
  </si>
  <si>
    <t>COG INVOICES: Product Costs + Shipping</t>
  </si>
  <si>
    <t xml:space="preserve">Gross Profit </t>
  </si>
  <si>
    <t>Expenses</t>
  </si>
  <si>
    <t>Facebook</t>
  </si>
  <si>
    <t>TikTok</t>
  </si>
  <si>
    <t>Google</t>
  </si>
  <si>
    <t>Snapchat</t>
  </si>
  <si>
    <t>Pinterest</t>
  </si>
  <si>
    <t xml:space="preserve">Processing Fees </t>
  </si>
  <si>
    <t>(Klaviyo, TripleWhale, WeTracked)</t>
  </si>
  <si>
    <t>Virtual Assistant(s)</t>
  </si>
  <si>
    <t>Editors</t>
  </si>
  <si>
    <t>Shopify + Apps &amp; Software + Domain</t>
  </si>
  <si>
    <t>ShipStation</t>
  </si>
  <si>
    <t>Email Agency</t>
  </si>
  <si>
    <t>Total Expenses</t>
  </si>
  <si>
    <t>Profit</t>
  </si>
  <si>
    <t>Total Net Profit</t>
  </si>
  <si>
    <t>Net Profit</t>
  </si>
  <si>
    <t>AI - $17,145.48</t>
  </si>
  <si>
    <t>Total Spent Per Traffic Source</t>
  </si>
  <si>
    <t>Google Adwords</t>
  </si>
  <si>
    <t>Tiktok</t>
  </si>
  <si>
    <t xml:space="preserve">NOTES: </t>
  </si>
  <si>
    <t>The COG amounts include all apps + subscriptions + domain for Shopify</t>
  </si>
  <si>
    <t xml:space="preserve">  </t>
  </si>
  <si>
    <t>The COG amounts includes all apps + subscription + domain expenses for Shopify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</si>
</sst>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.00"/>
    <numFmt numFmtId="165" formatCode="&quot;$&quot;#,##0.00"/>
    <numFmt numFmtId="166" formatCode="&quot;$&quot;#,##0"/>
  </numFmts>
  <fonts count="19">
    <font>
      <sz val="10.0"/>
      <color rgb="FF000000"/>
      <name val="Calibri"/>
      <scheme val="minor"/>
    </font>
    <font>
      <b/>
      <sz val="12.0"/>
      <color theme="1"/>
      <name val="Montserrat"/>
    </font>
    <font>
      <color theme="1"/>
      <name val="Montserrat"/>
    </font>
    <font>
      <i/>
      <u/>
      <color theme="1"/>
      <name val="Montserrat"/>
    </font>
    <font>
      <b/>
      <color rgb="FFFFFFFF"/>
      <name val="Montserrat"/>
    </font>
    <font>
      <sz val="9.0"/>
      <color rgb="FF303030"/>
      <name val="Inter"/>
    </font>
    <font>
      <color rgb="FF000000"/>
      <name val="Montserrat"/>
    </font>
    <font>
      <color theme="1"/>
      <name val="Calibri"/>
      <scheme val="minor"/>
    </font>
    <font>
      <color rgb="FF303030"/>
      <name val="Montserrat"/>
    </font>
    <font>
      <b/>
      <color theme="1"/>
      <name val="Montserrat"/>
    </font>
    <font>
      <sz val="10.0"/>
      <color theme="1"/>
      <name val="Montserrat"/>
    </font>
    <font>
      <sz val="11.0"/>
      <color rgb="FF1C2B33"/>
      <name val="&quot;Optimistic 95&quot;"/>
    </font>
    <font>
      <sz val="11.0"/>
      <color rgb="FF1C2B33"/>
      <name val="Arial"/>
    </font>
    <font>
      <sz val="11.0"/>
      <color rgb="FF1C2B33"/>
      <name val="-apple-system"/>
    </font>
    <font>
      <sz val="11.0"/>
      <color rgb="FF121415"/>
      <name val="&quot;TikTok Text&quot;"/>
    </font>
    <font>
      <color rgb="FF1C2B33"/>
      <name val="Inherit"/>
    </font>
    <font>
      <sz val="10.0"/>
      <color rgb="FF303030"/>
      <name val="Montserrat"/>
    </font>
    <font>
      <sz val="10.0"/>
      <color rgb="FF303030"/>
      <name val="Calibri"/>
      <scheme val="minor"/>
    </font>
    <font>
      <color rgb="FF303030"/>
      <name val="Inter"/>
    </font>
  </fonts>
  <fills count="7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0" xfId="0" applyAlignment="1" applyFont="1" applyNumberFormat="1">
      <alignment readingOrder="0" vertical="bottom"/>
    </xf>
    <xf borderId="0" fillId="0" fontId="2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2" fontId="4" numFmtId="0" xfId="0" applyAlignment="1" applyFont="1">
      <alignment readingOrder="0"/>
    </xf>
    <xf borderId="0" fillId="2" fontId="4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3" fontId="5" numFmtId="164" xfId="0" applyAlignment="1" applyFill="1" applyFont="1" applyNumberFormat="1">
      <alignment readingOrder="0" shrinkToFit="0" wrapText="0"/>
    </xf>
    <xf borderId="0" fillId="3" fontId="6" numFmtId="164" xfId="0" applyAlignment="1" applyFont="1" applyNumberFormat="1">
      <alignment horizontal="right" readingOrder="0" vertical="bottom"/>
    </xf>
    <xf borderId="0" fillId="4" fontId="5" numFmtId="164" xfId="0" applyAlignment="1" applyFill="1" applyFont="1" applyNumberFormat="1">
      <alignment readingOrder="0" shrinkToFit="0" wrapText="0"/>
    </xf>
    <xf borderId="0" fillId="0" fontId="7" numFmtId="164" xfId="0" applyAlignment="1" applyFont="1" applyNumberFormat="1">
      <alignment readingOrder="0"/>
    </xf>
    <xf borderId="0" fillId="5" fontId="2" numFmtId="164" xfId="0" applyAlignment="1" applyFill="1" applyFont="1" applyNumberFormat="1">
      <alignment readingOrder="0" vertical="bottom"/>
    </xf>
    <xf borderId="0" fillId="0" fontId="2" numFmtId="16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7" numFmtId="164" xfId="0" applyFont="1" applyNumberFormat="1"/>
    <xf borderId="0" fillId="3" fontId="8" numFmtId="164" xfId="0" applyAlignment="1" applyFont="1" applyNumberFormat="1">
      <alignment horizontal="right" readingOrder="0" shrinkToFit="0" wrapText="0"/>
    </xf>
    <xf borderId="0" fillId="3" fontId="2" numFmtId="164" xfId="0" applyAlignment="1" applyFont="1" applyNumberFormat="1">
      <alignment horizontal="right" readingOrder="0" vertical="bottom"/>
    </xf>
    <xf borderId="0" fillId="3" fontId="2" numFmtId="164" xfId="0" applyAlignment="1" applyFont="1" applyNumberFormat="1">
      <alignment readingOrder="0"/>
    </xf>
    <xf borderId="0" fillId="5" fontId="9" numFmtId="0" xfId="0" applyAlignment="1" applyFont="1">
      <alignment vertical="bottom"/>
    </xf>
    <xf borderId="0" fillId="6" fontId="9" numFmtId="164" xfId="0" applyAlignment="1" applyFill="1" applyFont="1" applyNumberFormat="1">
      <alignment readingOrder="0" shrinkToFit="0" wrapText="0"/>
    </xf>
    <xf borderId="0" fillId="6" fontId="9" numFmtId="164" xfId="0" applyAlignment="1" applyFont="1" applyNumberFormat="1">
      <alignment readingOrder="0" vertical="bottom"/>
    </xf>
    <xf borderId="0" fillId="0" fontId="6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 vertical="bottom"/>
    </xf>
    <xf borderId="0" fillId="5" fontId="2" numFmtId="164" xfId="0" applyAlignment="1" applyFont="1" applyNumberFormat="1">
      <alignment horizontal="right" readingOrder="0" vertical="bottom"/>
    </xf>
    <xf borderId="0" fillId="5" fontId="9" numFmtId="164" xfId="0" applyAlignment="1" applyFont="1" applyNumberFormat="1">
      <alignment horizontal="right" vertical="bottom"/>
    </xf>
    <xf borderId="0" fillId="5" fontId="9" numFmtId="164" xfId="0" applyAlignment="1" applyFont="1" applyNumberFormat="1">
      <alignment readingOrder="0" vertical="bottom"/>
    </xf>
    <xf borderId="0" fillId="0" fontId="10" numFmtId="0" xfId="0" applyAlignment="1" applyFont="1">
      <alignment readingOrder="0"/>
    </xf>
    <xf borderId="0" fillId="3" fontId="11" numFmtId="165" xfId="0" applyAlignment="1" applyFont="1" applyNumberFormat="1">
      <alignment horizontal="right" readingOrder="0" shrinkToFit="0" wrapText="0"/>
    </xf>
    <xf borderId="0" fillId="3" fontId="12" numFmtId="165" xfId="0" applyAlignment="1" applyFont="1" applyNumberFormat="1">
      <alignment horizontal="right" readingOrder="0" shrinkToFit="0" wrapText="0"/>
    </xf>
    <xf borderId="0" fillId="3" fontId="13" numFmtId="165" xfId="0" applyAlignment="1" applyFont="1" applyNumberFormat="1">
      <alignment horizontal="right" readingOrder="0" shrinkToFit="0" wrapText="0"/>
    </xf>
    <xf borderId="0" fillId="3" fontId="11" numFmtId="166" xfId="0" applyAlignment="1" applyFont="1" applyNumberFormat="1">
      <alignment horizontal="right" readingOrder="0" shrinkToFit="0" wrapText="0"/>
    </xf>
    <xf borderId="0" fillId="5" fontId="2" numFmtId="165" xfId="0" applyAlignment="1" applyFont="1" applyNumberFormat="1">
      <alignment horizontal="right" vertical="bottom"/>
    </xf>
    <xf borderId="0" fillId="0" fontId="10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3" fontId="14" numFmtId="165" xfId="0" applyAlignment="1" applyFont="1" applyNumberFormat="1">
      <alignment horizontal="right" readingOrder="0"/>
    </xf>
    <xf borderId="0" fillId="3" fontId="2" numFmtId="165" xfId="0" applyAlignment="1" applyFont="1" applyNumberFormat="1">
      <alignment horizontal="right" readingOrder="0" vertical="bottom"/>
    </xf>
    <xf borderId="0" fillId="0" fontId="10" numFmtId="0" xfId="0" applyFont="1"/>
    <xf borderId="0" fillId="0" fontId="7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3" fontId="15" numFmtId="165" xfId="0" applyAlignment="1" applyFont="1" applyNumberFormat="1">
      <alignment horizontal="right" shrinkToFit="0" wrapText="0"/>
    </xf>
    <xf borderId="0" fillId="0" fontId="2" numFmtId="165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0" fontId="7" numFmtId="165" xfId="0" applyAlignment="1" applyFont="1" applyNumberFormat="1">
      <alignment readingOrder="0"/>
    </xf>
    <xf borderId="0" fillId="3" fontId="16" numFmtId="165" xfId="0" applyAlignment="1" applyFont="1" applyNumberFormat="1">
      <alignment readingOrder="0"/>
    </xf>
    <xf borderId="0" fillId="5" fontId="9" numFmtId="165" xfId="0" applyAlignment="1" applyFont="1" applyNumberFormat="1">
      <alignment horizontal="right" vertical="bottom"/>
    </xf>
    <xf borderId="0" fillId="5" fontId="9" numFmtId="165" xfId="0" applyAlignment="1" applyFont="1" applyNumberFormat="1">
      <alignment horizontal="right" readingOrder="0" vertical="bottom"/>
    </xf>
    <xf borderId="0" fillId="3" fontId="2" numFmtId="0" xfId="0" applyAlignment="1" applyFont="1">
      <alignment vertical="bottom"/>
    </xf>
    <xf borderId="0" fillId="2" fontId="4" numFmtId="0" xfId="0" applyAlignment="1" applyFont="1">
      <alignment horizontal="right" readingOrder="0" vertical="bottom"/>
    </xf>
    <xf borderId="0" fillId="0" fontId="9" numFmtId="0" xfId="0" applyAlignment="1" applyFont="1">
      <alignment readingOrder="0"/>
    </xf>
    <xf borderId="0" fillId="2" fontId="4" numFmtId="0" xfId="0" applyFont="1"/>
    <xf borderId="0" fillId="2" fontId="2" numFmtId="0" xfId="0" applyFon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3" fontId="6" numFmtId="0" xfId="0" applyAlignment="1" applyFont="1">
      <alignment vertical="bottom"/>
    </xf>
    <xf borderId="0" fillId="3" fontId="6" numFmtId="165" xfId="0" applyAlignment="1" applyFont="1" applyNumberFormat="1">
      <alignment horizontal="right" vertical="bottom"/>
    </xf>
    <xf borderId="0" fillId="3" fontId="2" numFmtId="4" xfId="0" applyAlignment="1" applyFont="1" applyNumberFormat="1">
      <alignment horizontal="right" vertical="bottom"/>
    </xf>
    <xf borderId="0" fillId="3" fontId="17" numFmtId="164" xfId="0" applyAlignment="1" applyFont="1" applyNumberFormat="1">
      <alignment readingOrder="0" shrinkToFit="0" wrapText="0"/>
    </xf>
    <xf borderId="0" fillId="0" fontId="18" numFmtId="164" xfId="0" applyAlignment="1" applyFont="1" applyNumberFormat="1">
      <alignment readingOrder="0" shrinkToFit="0" wrapText="0"/>
    </xf>
    <xf borderId="0" fillId="0" fontId="7" numFmtId="166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71"/>
    <col customWidth="1" min="2" max="6" width="14.43"/>
    <col customWidth="1" min="12" max="12" width="14.29"/>
    <col customWidth="1" min="14" max="14" width="24.29"/>
  </cols>
  <sheetData>
    <row r="1" ht="15.75" customHeight="1">
      <c r="A1" s="1" t="s">
        <v>0</v>
      </c>
      <c r="B1" s="2" t="str">
        <f t="shared" ref="B1:C1" si="1">B4*B2</f>
        <v>#VALUE!</v>
      </c>
      <c r="C1" s="2" t="str">
        <f t="shared" si="1"/>
        <v>#VALUE!</v>
      </c>
      <c r="D1" s="2"/>
      <c r="E1" s="3"/>
      <c r="F1" s="2"/>
      <c r="G1" s="2"/>
      <c r="H1" s="2"/>
      <c r="I1" s="2"/>
      <c r="J1" s="2"/>
      <c r="K1" s="2"/>
      <c r="L1" s="2"/>
      <c r="M1" s="4"/>
      <c r="N1" s="4"/>
    </row>
    <row r="2" ht="15.75" customHeight="1">
      <c r="A2" s="5" t="s">
        <v>1</v>
      </c>
      <c r="B2" s="6" t="s">
        <v>2</v>
      </c>
      <c r="C2" s="6" t="s">
        <v>2</v>
      </c>
      <c r="D2" s="7"/>
      <c r="E2" s="8"/>
      <c r="F2" s="8"/>
      <c r="G2" s="8"/>
      <c r="H2" s="8"/>
      <c r="I2" s="8"/>
      <c r="J2" s="8"/>
      <c r="K2" s="8"/>
      <c r="L2" s="2"/>
      <c r="M2" s="4"/>
      <c r="N2" s="4"/>
    </row>
    <row r="3" ht="15.75" customHeight="1">
      <c r="A3" s="9" t="s">
        <v>3</v>
      </c>
      <c r="B3" s="10" t="s">
        <v>4</v>
      </c>
      <c r="C3" s="10" t="s">
        <v>5</v>
      </c>
      <c r="D3" s="10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11" t="s">
        <v>16</v>
      </c>
    </row>
    <row r="4" ht="15.75" customHeight="1">
      <c r="A4" s="12" t="s">
        <v>17</v>
      </c>
      <c r="B4" s="13"/>
      <c r="C4" s="14"/>
      <c r="D4" s="15"/>
      <c r="E4" s="14"/>
      <c r="F4" s="16"/>
      <c r="G4" s="16">
        <v>4596.4</v>
      </c>
      <c r="H4" s="16">
        <v>86113.81</v>
      </c>
      <c r="I4" s="16">
        <v>145884.23</v>
      </c>
      <c r="J4" s="16">
        <v>84979.98</v>
      </c>
      <c r="K4" s="16">
        <v>86798.44</v>
      </c>
      <c r="L4" s="16">
        <v>46672.68</v>
      </c>
      <c r="M4" s="16">
        <v>30778.74</v>
      </c>
      <c r="N4" s="17">
        <f t="shared" ref="N4:N6" si="2">SUM(B4:M4)</f>
        <v>485824.28</v>
      </c>
    </row>
    <row r="5" ht="15.75" customHeight="1">
      <c r="A5" s="12" t="s">
        <v>18</v>
      </c>
      <c r="B5" s="16"/>
      <c r="C5" s="16"/>
      <c r="D5" s="16"/>
      <c r="E5" s="16"/>
      <c r="F5" s="16"/>
      <c r="G5" s="16">
        <v>0.0</v>
      </c>
      <c r="H5" s="16">
        <v>0.0</v>
      </c>
      <c r="I5" s="16">
        <v>15277.82</v>
      </c>
      <c r="J5" s="16">
        <v>17573.2</v>
      </c>
      <c r="K5" s="16">
        <v>21180.95</v>
      </c>
      <c r="L5" s="16">
        <v>10229.09</v>
      </c>
      <c r="M5" s="16">
        <v>8140.89</v>
      </c>
      <c r="N5" s="17">
        <f t="shared" si="2"/>
        <v>72401.95</v>
      </c>
    </row>
    <row r="6" ht="15.75" customHeight="1">
      <c r="A6" s="12" t="s">
        <v>19</v>
      </c>
      <c r="B6" s="18"/>
      <c r="C6" s="14"/>
      <c r="D6" s="19"/>
      <c r="E6" s="20"/>
      <c r="F6" s="16"/>
      <c r="G6" s="14"/>
      <c r="H6" s="21"/>
      <c r="I6" s="20"/>
      <c r="J6" s="20"/>
      <c r="K6" s="22"/>
      <c r="L6" s="21"/>
      <c r="M6" s="21"/>
      <c r="N6" s="17">
        <f t="shared" si="2"/>
        <v>0</v>
      </c>
    </row>
    <row r="7" ht="15.75" customHeight="1">
      <c r="A7" s="12" t="s">
        <v>20</v>
      </c>
      <c r="B7" s="18"/>
      <c r="C7" s="14"/>
      <c r="D7" s="19"/>
      <c r="E7" s="16"/>
      <c r="F7" s="23"/>
      <c r="G7" s="16">
        <v>0.0</v>
      </c>
      <c r="H7" s="16">
        <v>0.0</v>
      </c>
      <c r="I7" s="16">
        <v>0.0</v>
      </c>
      <c r="J7" s="16">
        <v>0.0</v>
      </c>
      <c r="K7" s="22">
        <v>28.8</v>
      </c>
      <c r="L7" s="21">
        <v>74.82</v>
      </c>
      <c r="M7" s="21">
        <v>62.23</v>
      </c>
      <c r="N7" s="17" t="s">
        <v>21</v>
      </c>
    </row>
    <row r="8" ht="15.75" customHeight="1">
      <c r="A8" s="24" t="s">
        <v>22</v>
      </c>
      <c r="B8" s="25">
        <f t="shared" ref="B8:M8" si="3">SUM(B4:B7)</f>
        <v>0</v>
      </c>
      <c r="C8" s="25">
        <f t="shared" si="3"/>
        <v>0</v>
      </c>
      <c r="D8" s="25">
        <f t="shared" si="3"/>
        <v>0</v>
      </c>
      <c r="E8" s="25">
        <f t="shared" si="3"/>
        <v>0</v>
      </c>
      <c r="F8" s="25">
        <f t="shared" si="3"/>
        <v>0</v>
      </c>
      <c r="G8" s="25">
        <f t="shared" si="3"/>
        <v>4596.4</v>
      </c>
      <c r="H8" s="25">
        <f t="shared" si="3"/>
        <v>86113.81</v>
      </c>
      <c r="I8" s="25">
        <f t="shared" si="3"/>
        <v>161162.05</v>
      </c>
      <c r="J8" s="25">
        <f t="shared" si="3"/>
        <v>102553.18</v>
      </c>
      <c r="K8" s="25">
        <f t="shared" si="3"/>
        <v>108008.19</v>
      </c>
      <c r="L8" s="25">
        <f t="shared" si="3"/>
        <v>56976.59</v>
      </c>
      <c r="M8" s="25">
        <f t="shared" si="3"/>
        <v>38981.86</v>
      </c>
      <c r="N8" s="26">
        <f>SUM(B8:M8)</f>
        <v>558392.08</v>
      </c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  <c r="N9" s="4"/>
    </row>
    <row r="10" ht="15.75" customHeight="1">
      <c r="A10" s="9" t="s">
        <v>23</v>
      </c>
      <c r="B10" s="10" t="s">
        <v>4</v>
      </c>
      <c r="C10" s="10" t="s">
        <v>5</v>
      </c>
      <c r="D10" s="10" t="s">
        <v>6</v>
      </c>
      <c r="E10" s="9" t="s">
        <v>7</v>
      </c>
      <c r="F10" s="9" t="s">
        <v>8</v>
      </c>
      <c r="G10" s="9" t="s">
        <v>9</v>
      </c>
      <c r="H10" s="9" t="s">
        <v>10</v>
      </c>
      <c r="I10" s="9" t="s">
        <v>11</v>
      </c>
      <c r="J10" s="9" t="s">
        <v>12</v>
      </c>
      <c r="K10" s="9" t="s">
        <v>13</v>
      </c>
      <c r="L10" s="9" t="s">
        <v>14</v>
      </c>
      <c r="M10" s="9" t="s">
        <v>15</v>
      </c>
      <c r="N10" s="11" t="s">
        <v>16</v>
      </c>
    </row>
    <row r="11" ht="15.75" customHeight="1">
      <c r="A11" s="12" t="s">
        <v>24</v>
      </c>
      <c r="B11" s="16"/>
      <c r="C11" s="14"/>
      <c r="D11" s="14"/>
      <c r="E11" s="14"/>
      <c r="F11" s="14"/>
      <c r="G11" s="14">
        <v>1088.27</v>
      </c>
      <c r="H11" s="27">
        <v>15191.41</v>
      </c>
      <c r="I11" s="14">
        <v>35428.15</v>
      </c>
      <c r="J11" s="14">
        <v>20350.38</v>
      </c>
      <c r="K11" s="22">
        <v>22601.37</v>
      </c>
      <c r="L11" s="19">
        <v>12135.72</v>
      </c>
      <c r="M11" s="28">
        <v>9324.54</v>
      </c>
      <c r="N11" s="29">
        <f t="shared" ref="N11:N12" si="5">SUM(B11:M11)</f>
        <v>116119.84</v>
      </c>
    </row>
    <row r="12" ht="15.75" customHeight="1">
      <c r="A12" s="24" t="s">
        <v>25</v>
      </c>
      <c r="B12" s="30">
        <f t="shared" ref="B12:M12" si="4">MINUS(B8,B11)</f>
        <v>0</v>
      </c>
      <c r="C12" s="30">
        <f t="shared" si="4"/>
        <v>0</v>
      </c>
      <c r="D12" s="30">
        <f t="shared" si="4"/>
        <v>0</v>
      </c>
      <c r="E12" s="30">
        <f t="shared" si="4"/>
        <v>0</v>
      </c>
      <c r="F12" s="30">
        <f t="shared" si="4"/>
        <v>0</v>
      </c>
      <c r="G12" s="30">
        <f t="shared" si="4"/>
        <v>3508.13</v>
      </c>
      <c r="H12" s="30">
        <f t="shared" si="4"/>
        <v>70922.4</v>
      </c>
      <c r="I12" s="30">
        <f t="shared" si="4"/>
        <v>125733.9</v>
      </c>
      <c r="J12" s="30">
        <f t="shared" si="4"/>
        <v>82202.8</v>
      </c>
      <c r="K12" s="30">
        <f t="shared" si="4"/>
        <v>85406.82</v>
      </c>
      <c r="L12" s="30">
        <f t="shared" si="4"/>
        <v>44840.87</v>
      </c>
      <c r="M12" s="30">
        <f t="shared" si="4"/>
        <v>29657.32</v>
      </c>
      <c r="N12" s="31">
        <f t="shared" si="5"/>
        <v>442272.24</v>
      </c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3"/>
      <c r="K13" s="3"/>
      <c r="L13" s="3"/>
      <c r="M13" s="4"/>
      <c r="N13" s="4"/>
    </row>
    <row r="14" ht="15.75" customHeight="1">
      <c r="A14" s="9" t="s">
        <v>26</v>
      </c>
      <c r="B14" s="10" t="s">
        <v>4</v>
      </c>
      <c r="C14" s="10" t="s">
        <v>5</v>
      </c>
      <c r="D14" s="10" t="s">
        <v>6</v>
      </c>
      <c r="E14" s="9" t="s">
        <v>7</v>
      </c>
      <c r="F14" s="9" t="s">
        <v>8</v>
      </c>
      <c r="G14" s="9" t="s">
        <v>9</v>
      </c>
      <c r="H14" s="9" t="s">
        <v>10</v>
      </c>
      <c r="I14" s="9" t="s">
        <v>11</v>
      </c>
      <c r="J14" s="9" t="s">
        <v>12</v>
      </c>
      <c r="K14" s="9" t="s">
        <v>13</v>
      </c>
      <c r="L14" s="9" t="s">
        <v>14</v>
      </c>
      <c r="M14" s="9" t="s">
        <v>15</v>
      </c>
      <c r="N14" s="11" t="s">
        <v>16</v>
      </c>
    </row>
    <row r="15" ht="15.75" customHeight="1">
      <c r="A15" s="32" t="s">
        <v>27</v>
      </c>
      <c r="B15" s="33"/>
      <c r="C15" s="33"/>
      <c r="D15" s="34"/>
      <c r="E15" s="35"/>
      <c r="F15" s="33"/>
      <c r="G15" s="33">
        <v>1378.66</v>
      </c>
      <c r="H15" s="33">
        <v>26327.07</v>
      </c>
      <c r="I15" s="33">
        <v>78012.91</v>
      </c>
      <c r="J15" s="33">
        <v>51800.43</v>
      </c>
      <c r="K15" s="33">
        <v>44267.45</v>
      </c>
      <c r="L15" s="36">
        <v>14253.95</v>
      </c>
      <c r="M15" s="36">
        <v>6618.05</v>
      </c>
      <c r="N15" s="37">
        <f t="shared" ref="N15:N27" si="6">SUM(B15:M15)</f>
        <v>222658.52</v>
      </c>
    </row>
    <row r="16" ht="15.75" customHeight="1">
      <c r="A16" s="38" t="s">
        <v>28</v>
      </c>
      <c r="B16" s="39"/>
      <c r="C16" s="39"/>
      <c r="D16" s="39"/>
      <c r="E16" s="40"/>
      <c r="F16" s="39"/>
      <c r="G16" s="39"/>
      <c r="H16" s="39"/>
      <c r="I16" s="39"/>
      <c r="J16" s="39"/>
      <c r="K16" s="41"/>
      <c r="L16" s="39"/>
      <c r="M16" s="39"/>
      <c r="N16" s="37">
        <f t="shared" si="6"/>
        <v>0</v>
      </c>
    </row>
    <row r="17" ht="15.75" customHeight="1">
      <c r="A17" s="42" t="s">
        <v>29</v>
      </c>
      <c r="B17" s="39"/>
      <c r="C17" s="39"/>
      <c r="D17" s="39"/>
      <c r="E17" s="39"/>
      <c r="F17" s="39"/>
      <c r="G17" s="39">
        <v>0.0</v>
      </c>
      <c r="H17" s="39">
        <v>140.6</v>
      </c>
      <c r="I17" s="39">
        <v>1232.36</v>
      </c>
      <c r="J17" s="39">
        <v>0.0</v>
      </c>
      <c r="K17" s="43">
        <v>0.0</v>
      </c>
      <c r="L17" s="44">
        <v>0.0</v>
      </c>
      <c r="M17" s="44">
        <v>0.0</v>
      </c>
      <c r="N17" s="37">
        <f t="shared" si="6"/>
        <v>1372.96</v>
      </c>
    </row>
    <row r="18" ht="15.75" customHeight="1">
      <c r="A18" s="42" t="s">
        <v>30</v>
      </c>
      <c r="B18" s="45"/>
      <c r="C18" s="45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7">
        <f t="shared" si="6"/>
        <v>0</v>
      </c>
    </row>
    <row r="19" ht="15.75" customHeight="1">
      <c r="A19" s="32" t="s">
        <v>31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7">
        <f t="shared" si="6"/>
        <v>0</v>
      </c>
    </row>
    <row r="20" ht="15.75" customHeight="1">
      <c r="A20" s="38" t="s">
        <v>32</v>
      </c>
      <c r="B20" s="39">
        <f t="shared" ref="B20:J20" si="7">B4*3.9%</f>
        <v>0</v>
      </c>
      <c r="C20" s="39">
        <f t="shared" si="7"/>
        <v>0</v>
      </c>
      <c r="D20" s="39">
        <f t="shared" si="7"/>
        <v>0</v>
      </c>
      <c r="E20" s="39">
        <f t="shared" si="7"/>
        <v>0</v>
      </c>
      <c r="F20" s="39">
        <f t="shared" si="7"/>
        <v>0</v>
      </c>
      <c r="G20" s="39">
        <f t="shared" si="7"/>
        <v>179.2596</v>
      </c>
      <c r="H20" s="39">
        <f t="shared" si="7"/>
        <v>3358.43859</v>
      </c>
      <c r="I20" s="39">
        <f t="shared" si="7"/>
        <v>5689.48497</v>
      </c>
      <c r="J20" s="39">
        <f t="shared" si="7"/>
        <v>3314.21922</v>
      </c>
      <c r="K20" s="39">
        <v>3385.14</v>
      </c>
      <c r="L20" s="39">
        <f t="shared" ref="L20:M20" si="8">L4*3.9%</f>
        <v>1820.23452</v>
      </c>
      <c r="M20" s="39">
        <f t="shared" si="8"/>
        <v>1200.37086</v>
      </c>
      <c r="N20" s="37">
        <f t="shared" si="6"/>
        <v>18947.14776</v>
      </c>
    </row>
    <row r="21" ht="15.75" customHeight="1">
      <c r="A21" s="38" t="s">
        <v>33</v>
      </c>
      <c r="B21" s="39"/>
      <c r="C21" s="39"/>
      <c r="D21" s="39"/>
      <c r="E21" s="39"/>
      <c r="F21" s="39"/>
      <c r="G21" s="39"/>
      <c r="H21" s="39"/>
      <c r="I21" s="39"/>
      <c r="J21" s="39"/>
      <c r="K21" s="41"/>
      <c r="L21" s="46"/>
      <c r="M21" s="46"/>
      <c r="N21" s="37">
        <f t="shared" si="6"/>
        <v>0</v>
      </c>
    </row>
    <row r="22" ht="15.75" customHeight="1">
      <c r="A22" s="47" t="s">
        <v>34</v>
      </c>
      <c r="B22" s="39"/>
      <c r="C22" s="39"/>
      <c r="D22" s="39"/>
      <c r="E22" s="39"/>
      <c r="F22" s="39"/>
      <c r="G22" s="39">
        <v>250.0</v>
      </c>
      <c r="H22" s="39">
        <v>250.0</v>
      </c>
      <c r="I22" s="39">
        <v>250.0</v>
      </c>
      <c r="J22" s="39">
        <v>250.0</v>
      </c>
      <c r="K22" s="39">
        <v>250.0</v>
      </c>
      <c r="L22" s="39">
        <v>250.0</v>
      </c>
      <c r="M22" s="39">
        <v>250.0</v>
      </c>
      <c r="N22" s="37">
        <f t="shared" si="6"/>
        <v>1750</v>
      </c>
    </row>
    <row r="23" ht="15.75" customHeight="1">
      <c r="A23" s="38" t="s">
        <v>35</v>
      </c>
      <c r="B23" s="39"/>
      <c r="C23" s="39"/>
      <c r="D23" s="39"/>
      <c r="E23" s="39"/>
      <c r="F23" s="39"/>
      <c r="G23" s="39">
        <v>72.0</v>
      </c>
      <c r="H23" s="39"/>
      <c r="I23" s="39"/>
      <c r="J23" s="39"/>
      <c r="K23" s="39"/>
      <c r="L23" s="39">
        <v>110.0</v>
      </c>
      <c r="M23" s="39">
        <v>150.0</v>
      </c>
      <c r="N23" s="37">
        <f t="shared" si="6"/>
        <v>332</v>
      </c>
    </row>
    <row r="24" ht="15.75" customHeight="1">
      <c r="A24" s="38" t="s">
        <v>36</v>
      </c>
      <c r="B24" s="4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49"/>
      <c r="N24" s="37">
        <f t="shared" si="6"/>
        <v>0</v>
      </c>
    </row>
    <row r="25" ht="15.75" customHeight="1">
      <c r="A25" s="38" t="s">
        <v>37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49"/>
      <c r="N25" s="37">
        <f t="shared" si="6"/>
        <v>0</v>
      </c>
    </row>
    <row r="26" ht="15.75" customHeight="1">
      <c r="A26" s="32" t="s">
        <v>38</v>
      </c>
      <c r="B26" s="39"/>
      <c r="C26" s="39"/>
      <c r="D26" s="39"/>
      <c r="E26" s="39"/>
      <c r="F26" s="39"/>
      <c r="G26" s="39"/>
      <c r="H26" s="39">
        <v>680.0</v>
      </c>
      <c r="I26" s="39">
        <v>680.0</v>
      </c>
      <c r="J26" s="39"/>
      <c r="K26" s="39"/>
      <c r="L26" s="39"/>
      <c r="M26" s="39"/>
      <c r="N26" s="37">
        <f t="shared" si="6"/>
        <v>1360</v>
      </c>
    </row>
    <row r="27" ht="15.75" customHeight="1">
      <c r="A27" s="24" t="s">
        <v>39</v>
      </c>
      <c r="B27" s="50">
        <f t="shared" ref="B27:M27" si="9">SUM(B15:B26)</f>
        <v>0</v>
      </c>
      <c r="C27" s="50">
        <f t="shared" si="9"/>
        <v>0</v>
      </c>
      <c r="D27" s="50">
        <f t="shared" si="9"/>
        <v>0</v>
      </c>
      <c r="E27" s="50">
        <f t="shared" si="9"/>
        <v>0</v>
      </c>
      <c r="F27" s="50">
        <f t="shared" si="9"/>
        <v>0</v>
      </c>
      <c r="G27" s="50">
        <f t="shared" si="9"/>
        <v>1879.9196</v>
      </c>
      <c r="H27" s="50">
        <f t="shared" si="9"/>
        <v>30756.10859</v>
      </c>
      <c r="I27" s="50">
        <f t="shared" si="9"/>
        <v>85864.75497</v>
      </c>
      <c r="J27" s="50">
        <f t="shared" si="9"/>
        <v>55364.64922</v>
      </c>
      <c r="K27" s="50">
        <f t="shared" si="9"/>
        <v>47902.59</v>
      </c>
      <c r="L27" s="50">
        <f t="shared" si="9"/>
        <v>16434.18452</v>
      </c>
      <c r="M27" s="50">
        <f t="shared" si="9"/>
        <v>8218.42086</v>
      </c>
      <c r="N27" s="51">
        <f t="shared" si="6"/>
        <v>246420.6278</v>
      </c>
    </row>
    <row r="28" ht="15.75" customHeight="1">
      <c r="A28" s="8"/>
      <c r="B28" s="8"/>
      <c r="C28" s="8"/>
      <c r="D28" s="8"/>
      <c r="E28" s="52"/>
      <c r="F28" s="52"/>
      <c r="G28" s="52"/>
      <c r="H28" s="52"/>
      <c r="I28" s="52"/>
      <c r="J28" s="8"/>
      <c r="K28" s="8"/>
      <c r="L28" s="2"/>
      <c r="M28" s="4"/>
      <c r="N28" s="4"/>
    </row>
    <row r="29" ht="15.75" customHeight="1">
      <c r="A29" s="9" t="s">
        <v>40</v>
      </c>
      <c r="B29" s="10" t="s">
        <v>4</v>
      </c>
      <c r="C29" s="10" t="s">
        <v>5</v>
      </c>
      <c r="D29" s="10" t="s">
        <v>6</v>
      </c>
      <c r="E29" s="9" t="s">
        <v>7</v>
      </c>
      <c r="F29" s="9" t="s">
        <v>8</v>
      </c>
      <c r="G29" s="9" t="s">
        <v>9</v>
      </c>
      <c r="H29" s="9" t="s">
        <v>10</v>
      </c>
      <c r="I29" s="9" t="s">
        <v>11</v>
      </c>
      <c r="J29" s="9" t="s">
        <v>12</v>
      </c>
      <c r="K29" s="9" t="s">
        <v>13</v>
      </c>
      <c r="L29" s="9" t="s">
        <v>14</v>
      </c>
      <c r="M29" s="9" t="s">
        <v>15</v>
      </c>
      <c r="N29" s="53" t="s">
        <v>41</v>
      </c>
    </row>
    <row r="30" ht="15.75" customHeight="1">
      <c r="A30" s="24" t="s">
        <v>42</v>
      </c>
      <c r="B30" s="50">
        <f t="shared" ref="B30:M30" si="10">MINUS(B12,B27)</f>
        <v>0</v>
      </c>
      <c r="C30" s="50">
        <f t="shared" si="10"/>
        <v>0</v>
      </c>
      <c r="D30" s="50">
        <f t="shared" si="10"/>
        <v>0</v>
      </c>
      <c r="E30" s="50">
        <f t="shared" si="10"/>
        <v>0</v>
      </c>
      <c r="F30" s="50">
        <f t="shared" si="10"/>
        <v>0</v>
      </c>
      <c r="G30" s="50">
        <f t="shared" si="10"/>
        <v>1628.2104</v>
      </c>
      <c r="H30" s="50">
        <f t="shared" si="10"/>
        <v>40166.29141</v>
      </c>
      <c r="I30" s="50">
        <f t="shared" si="10"/>
        <v>39869.14503</v>
      </c>
      <c r="J30" s="50">
        <f t="shared" si="10"/>
        <v>26838.15078</v>
      </c>
      <c r="K30" s="50">
        <f t="shared" si="10"/>
        <v>37504.23</v>
      </c>
      <c r="L30" s="50">
        <f t="shared" si="10"/>
        <v>28406.68548</v>
      </c>
      <c r="M30" s="50">
        <f t="shared" si="10"/>
        <v>21438.89914</v>
      </c>
      <c r="N30" s="51">
        <f>SUM(B30:M30)</f>
        <v>195851.6122</v>
      </c>
    </row>
    <row r="31" ht="15.75" customHeight="1">
      <c r="A31" s="5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5.75" customHeight="1">
      <c r="A32" s="2"/>
      <c r="B32" s="2"/>
      <c r="C32" s="2"/>
      <c r="D32" s="2"/>
      <c r="E32" s="3" t="s">
        <v>43</v>
      </c>
      <c r="F32" s="2"/>
      <c r="G32" s="2"/>
      <c r="H32" s="2"/>
      <c r="I32" s="2"/>
      <c r="J32" s="2"/>
      <c r="K32" s="2"/>
      <c r="L32" s="2"/>
      <c r="M32" s="2"/>
      <c r="N32" s="2"/>
    </row>
    <row r="33" ht="15.75" customHeight="1">
      <c r="A33" s="55" t="s">
        <v>44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</row>
    <row r="34" ht="15.75" customHeight="1">
      <c r="A34" s="2" t="s">
        <v>27</v>
      </c>
      <c r="B34" s="57"/>
      <c r="C34" s="2"/>
      <c r="D34" s="2"/>
      <c r="E34" s="3"/>
      <c r="F34" s="2"/>
      <c r="G34" s="2"/>
      <c r="H34" s="2"/>
      <c r="I34" s="2"/>
      <c r="J34" s="2"/>
      <c r="K34" s="2"/>
      <c r="L34" s="2"/>
      <c r="M34" s="3"/>
      <c r="N34" s="2"/>
    </row>
    <row r="35" ht="15.75" customHeight="1">
      <c r="A35" s="2" t="s">
        <v>45</v>
      </c>
      <c r="B35" s="57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3"/>
    </row>
    <row r="36" ht="15.75" customHeight="1">
      <c r="A36" s="2" t="s">
        <v>46</v>
      </c>
      <c r="B36" s="58"/>
      <c r="C36" s="2"/>
      <c r="D36" s="2"/>
      <c r="E36" s="2"/>
      <c r="F36" s="2"/>
      <c r="G36" s="2"/>
      <c r="H36" s="2"/>
      <c r="J36" s="2"/>
      <c r="K36" s="2"/>
      <c r="L36" s="2"/>
      <c r="M36" s="3"/>
      <c r="N36" s="2"/>
    </row>
    <row r="37" ht="15.75" customHeight="1">
      <c r="A37" s="2" t="s">
        <v>30</v>
      </c>
      <c r="B37" s="57"/>
      <c r="C37" s="2"/>
      <c r="D37" s="2"/>
      <c r="E37" s="2"/>
      <c r="F37" s="2"/>
      <c r="G37" s="2"/>
      <c r="H37" s="2"/>
      <c r="J37" s="2"/>
      <c r="K37" s="2"/>
      <c r="L37" s="2"/>
      <c r="M37" s="2"/>
      <c r="N37" s="2"/>
    </row>
    <row r="38" ht="15.75" customHeight="1">
      <c r="A38" s="3" t="s">
        <v>31</v>
      </c>
      <c r="B38" s="57"/>
      <c r="C38" s="2"/>
      <c r="D38" s="2"/>
      <c r="E38" s="2"/>
      <c r="F38" s="2"/>
      <c r="G38" s="2"/>
      <c r="J38" s="2"/>
      <c r="K38" s="2"/>
      <c r="L38" s="2"/>
      <c r="M38" s="2"/>
      <c r="N38" s="2"/>
    </row>
    <row r="39" ht="15.75" customHeight="1">
      <c r="A39" s="2"/>
      <c r="B39" s="57"/>
      <c r="C39" s="2"/>
      <c r="D39" s="2"/>
      <c r="E39" s="2"/>
      <c r="F39" s="2"/>
      <c r="G39" s="2"/>
      <c r="J39" s="2"/>
      <c r="K39" s="2"/>
      <c r="L39" s="2"/>
      <c r="M39" s="2"/>
      <c r="N39" s="2"/>
    </row>
    <row r="40" ht="15.75" customHeight="1">
      <c r="A40" s="54" t="s">
        <v>47</v>
      </c>
      <c r="B40" s="2"/>
      <c r="C40" s="2"/>
      <c r="D40" s="2"/>
      <c r="E40" s="2"/>
      <c r="F40" s="2"/>
      <c r="G40" s="2"/>
      <c r="J40" s="2"/>
      <c r="K40" s="2"/>
      <c r="L40" s="2"/>
      <c r="M40" s="2"/>
      <c r="N40" s="2"/>
    </row>
    <row r="41" ht="15.75" customHeight="1">
      <c r="A41" s="3" t="s">
        <v>48</v>
      </c>
      <c r="B41" s="2"/>
      <c r="C41" s="2"/>
      <c r="D41" s="2"/>
      <c r="E41" s="2"/>
      <c r="F41" s="2"/>
      <c r="G41" s="2"/>
      <c r="H41" s="2"/>
      <c r="J41" s="2"/>
      <c r="K41" s="2"/>
      <c r="L41" s="2"/>
      <c r="M41" s="2"/>
      <c r="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J42" s="2"/>
      <c r="K42" s="2"/>
      <c r="L42" s="2"/>
      <c r="M42" s="2"/>
      <c r="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J43" s="2"/>
      <c r="K43" s="2"/>
      <c r="L43" s="2"/>
      <c r="M43" s="2"/>
      <c r="N43" s="2"/>
    </row>
    <row r="44" ht="15.75" customHeight="1">
      <c r="A44" s="52"/>
      <c r="B44" s="59"/>
      <c r="C44" s="2"/>
      <c r="D44" s="2"/>
      <c r="E44" s="2"/>
      <c r="F44" s="2"/>
      <c r="G44" s="2"/>
      <c r="H44" s="2"/>
      <c r="J44" s="2"/>
      <c r="K44" s="2"/>
      <c r="L44" s="2"/>
      <c r="M44" s="2"/>
      <c r="N44" s="2"/>
    </row>
    <row r="45" ht="15.75" customHeight="1">
      <c r="A45" s="52"/>
      <c r="B45" s="6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5.75" customHeight="1">
      <c r="A46" s="8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5.75" customHeight="1">
      <c r="A47" s="61"/>
      <c r="B47" s="6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.75" customHeight="1">
      <c r="A48" s="52"/>
      <c r="B48" s="6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</sheetData>
  <mergeCells count="1">
    <mergeCell ref="A33:B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71"/>
    <col customWidth="1" min="2" max="6" width="14.43"/>
    <col customWidth="1" min="12" max="12" width="14.29"/>
    <col customWidth="1" min="14" max="14" width="24.29"/>
  </cols>
  <sheetData>
    <row r="1" ht="15.75" customHeight="1">
      <c r="A1" s="1" t="s">
        <v>0</v>
      </c>
      <c r="B1" s="2" t="str">
        <f t="shared" ref="B1:C1" si="1">B4*B2</f>
        <v>#VALUE!</v>
      </c>
      <c r="C1" s="2" t="str">
        <f t="shared" si="1"/>
        <v>#VALUE!</v>
      </c>
      <c r="D1" s="2"/>
      <c r="E1" s="3"/>
      <c r="F1" s="2"/>
      <c r="G1" s="2"/>
      <c r="H1" s="2"/>
      <c r="I1" s="2"/>
      <c r="J1" s="2"/>
      <c r="K1" s="2"/>
      <c r="L1" s="2"/>
      <c r="M1" s="4"/>
      <c r="N1" s="4"/>
    </row>
    <row r="2" ht="15.75" customHeight="1">
      <c r="A2" s="5" t="s">
        <v>1</v>
      </c>
      <c r="B2" s="6" t="s">
        <v>2</v>
      </c>
      <c r="C2" s="6" t="s">
        <v>2</v>
      </c>
      <c r="D2" s="7"/>
      <c r="E2" s="8"/>
      <c r="F2" s="8"/>
      <c r="G2" s="8"/>
      <c r="H2" s="8"/>
      <c r="I2" s="8"/>
      <c r="J2" s="8"/>
      <c r="K2" s="8"/>
      <c r="L2" s="2"/>
      <c r="M2" s="4"/>
      <c r="N2" s="4"/>
    </row>
    <row r="3" ht="15.75" customHeight="1">
      <c r="A3" s="9" t="s">
        <v>3</v>
      </c>
      <c r="B3" s="10" t="s">
        <v>4</v>
      </c>
      <c r="C3" s="10" t="s">
        <v>5</v>
      </c>
      <c r="D3" s="10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11" t="s">
        <v>16</v>
      </c>
    </row>
    <row r="4" ht="15.75" customHeight="1">
      <c r="A4" s="12" t="s">
        <v>17</v>
      </c>
      <c r="B4" s="13">
        <v>24672.25</v>
      </c>
      <c r="C4" s="14">
        <v>19793.16</v>
      </c>
      <c r="D4" s="15">
        <v>18594.89</v>
      </c>
      <c r="E4" s="14">
        <v>22001.98</v>
      </c>
      <c r="F4" s="16">
        <v>32502.54</v>
      </c>
      <c r="G4" s="16">
        <v>28149.69</v>
      </c>
      <c r="H4" s="16">
        <v>19776.91</v>
      </c>
      <c r="I4" s="16">
        <v>18589.93</v>
      </c>
      <c r="J4" s="16">
        <v>15303.74</v>
      </c>
      <c r="K4" s="64">
        <v>18399.0</v>
      </c>
      <c r="L4" s="16">
        <v>13649.96</v>
      </c>
      <c r="M4" s="64">
        <v>11898.24</v>
      </c>
      <c r="N4" s="17">
        <f t="shared" ref="N4:N8" si="2">SUM(B4:M4)</f>
        <v>243332.29</v>
      </c>
    </row>
    <row r="5" ht="15.75" customHeight="1">
      <c r="A5" s="12" t="s">
        <v>18</v>
      </c>
      <c r="B5" s="16">
        <v>6127.9</v>
      </c>
      <c r="C5" s="16">
        <v>5185.5</v>
      </c>
      <c r="D5" s="16">
        <v>5133.04</v>
      </c>
      <c r="E5" s="16">
        <v>5041.46</v>
      </c>
      <c r="F5" s="16">
        <v>14289.8</v>
      </c>
      <c r="G5" s="16">
        <v>8074.47</v>
      </c>
      <c r="H5" s="20"/>
      <c r="I5" s="16">
        <v>775.76</v>
      </c>
      <c r="J5" s="16">
        <v>455.15</v>
      </c>
      <c r="K5" s="16">
        <v>1130.0</v>
      </c>
      <c r="L5" s="21">
        <v>2064.37</v>
      </c>
      <c r="M5" s="65">
        <v>1296.72</v>
      </c>
      <c r="N5" s="17">
        <f t="shared" si="2"/>
        <v>49574.17</v>
      </c>
    </row>
    <row r="6" ht="15.75" customHeight="1">
      <c r="A6" s="12" t="s">
        <v>19</v>
      </c>
      <c r="B6" s="18"/>
      <c r="C6" s="14"/>
      <c r="D6" s="19" t="s">
        <v>49</v>
      </c>
      <c r="E6" s="20"/>
      <c r="F6" s="16"/>
      <c r="G6" s="14"/>
      <c r="H6" s="21"/>
      <c r="I6" s="20"/>
      <c r="J6" s="20"/>
      <c r="K6" s="22"/>
      <c r="L6" s="21"/>
      <c r="M6" s="21"/>
      <c r="N6" s="17">
        <f t="shared" si="2"/>
        <v>0</v>
      </c>
    </row>
    <row r="7" ht="15.75" customHeight="1">
      <c r="A7" s="12" t="s">
        <v>20</v>
      </c>
      <c r="B7" s="18">
        <v>31.0</v>
      </c>
      <c r="C7" s="14">
        <v>215.0</v>
      </c>
      <c r="D7" s="19">
        <v>6890.4</v>
      </c>
      <c r="E7" s="16">
        <v>4990.35</v>
      </c>
      <c r="F7" s="23">
        <v>26711.0</v>
      </c>
      <c r="G7" s="16">
        <v>17808.08</v>
      </c>
      <c r="H7" s="16">
        <v>9956.23</v>
      </c>
      <c r="I7" s="16">
        <v>1085.84</v>
      </c>
      <c r="J7" s="16">
        <v>4377.72</v>
      </c>
      <c r="K7" s="16">
        <v>1272.24</v>
      </c>
      <c r="L7" s="16">
        <v>3520.34</v>
      </c>
      <c r="M7" s="16">
        <v>1285.41</v>
      </c>
      <c r="N7" s="17">
        <f t="shared" si="2"/>
        <v>78143.61</v>
      </c>
    </row>
    <row r="8" ht="15.75" customHeight="1">
      <c r="A8" s="24" t="s">
        <v>22</v>
      </c>
      <c r="B8" s="25">
        <f t="shared" ref="B8:M8" si="3">SUM(B4:B7)</f>
        <v>30831.15</v>
      </c>
      <c r="C8" s="25">
        <f t="shared" si="3"/>
        <v>25193.66</v>
      </c>
      <c r="D8" s="25">
        <f t="shared" si="3"/>
        <v>30618.33</v>
      </c>
      <c r="E8" s="25">
        <f t="shared" si="3"/>
        <v>32033.79</v>
      </c>
      <c r="F8" s="25">
        <f t="shared" si="3"/>
        <v>73503.34</v>
      </c>
      <c r="G8" s="25">
        <f t="shared" si="3"/>
        <v>54032.24</v>
      </c>
      <c r="H8" s="25">
        <f t="shared" si="3"/>
        <v>29733.14</v>
      </c>
      <c r="I8" s="25">
        <f t="shared" si="3"/>
        <v>20451.53</v>
      </c>
      <c r="J8" s="25">
        <f t="shared" si="3"/>
        <v>20136.61</v>
      </c>
      <c r="K8" s="25">
        <f t="shared" si="3"/>
        <v>20801.24</v>
      </c>
      <c r="L8" s="25">
        <f t="shared" si="3"/>
        <v>19234.67</v>
      </c>
      <c r="M8" s="25">
        <f t="shared" si="3"/>
        <v>14480.37</v>
      </c>
      <c r="N8" s="26">
        <f t="shared" si="2"/>
        <v>371050.07</v>
      </c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  <c r="N9" s="4"/>
    </row>
    <row r="10" ht="15.75" customHeight="1">
      <c r="A10" s="9" t="s">
        <v>23</v>
      </c>
      <c r="B10" s="10" t="s">
        <v>4</v>
      </c>
      <c r="C10" s="10" t="s">
        <v>5</v>
      </c>
      <c r="D10" s="10" t="s">
        <v>6</v>
      </c>
      <c r="E10" s="9" t="s">
        <v>7</v>
      </c>
      <c r="F10" s="9" t="s">
        <v>8</v>
      </c>
      <c r="G10" s="9" t="s">
        <v>9</v>
      </c>
      <c r="H10" s="9" t="s">
        <v>10</v>
      </c>
      <c r="I10" s="9" t="s">
        <v>11</v>
      </c>
      <c r="J10" s="9" t="s">
        <v>12</v>
      </c>
      <c r="K10" s="9" t="s">
        <v>13</v>
      </c>
      <c r="L10" s="9" t="s">
        <v>14</v>
      </c>
      <c r="M10" s="9" t="s">
        <v>15</v>
      </c>
      <c r="N10" s="11" t="s">
        <v>16</v>
      </c>
    </row>
    <row r="11" ht="15.75" customHeight="1">
      <c r="A11" s="12" t="s">
        <v>24</v>
      </c>
      <c r="B11" s="16">
        <v>6170.14</v>
      </c>
      <c r="C11" s="14">
        <v>6056.04</v>
      </c>
      <c r="D11" s="14">
        <v>10315.68</v>
      </c>
      <c r="E11" s="14">
        <v>8108.0</v>
      </c>
      <c r="F11" s="14">
        <v>7785.47</v>
      </c>
      <c r="G11" s="14">
        <v>10570.04</v>
      </c>
      <c r="H11" s="27">
        <v>5028.85</v>
      </c>
      <c r="I11" s="14">
        <v>6509.63</v>
      </c>
      <c r="J11" s="14">
        <v>6150.18</v>
      </c>
      <c r="K11" s="16">
        <v>8273.08</v>
      </c>
      <c r="L11" s="16">
        <v>6936.91</v>
      </c>
      <c r="M11" s="28">
        <v>4069.94</v>
      </c>
      <c r="N11" s="29">
        <f t="shared" ref="N11:N12" si="5">SUM(B11:M11)</f>
        <v>85973.96</v>
      </c>
    </row>
    <row r="12" ht="15.75" customHeight="1">
      <c r="A12" s="24" t="s">
        <v>25</v>
      </c>
      <c r="B12" s="30">
        <f t="shared" ref="B12:M12" si="4">MINUS(B8,B11)</f>
        <v>24661.01</v>
      </c>
      <c r="C12" s="30">
        <f t="shared" si="4"/>
        <v>19137.62</v>
      </c>
      <c r="D12" s="30">
        <f t="shared" si="4"/>
        <v>20302.65</v>
      </c>
      <c r="E12" s="30">
        <f t="shared" si="4"/>
        <v>23925.79</v>
      </c>
      <c r="F12" s="30">
        <f t="shared" si="4"/>
        <v>65717.87</v>
      </c>
      <c r="G12" s="30">
        <f t="shared" si="4"/>
        <v>43462.2</v>
      </c>
      <c r="H12" s="30">
        <f t="shared" si="4"/>
        <v>24704.29</v>
      </c>
      <c r="I12" s="30">
        <f t="shared" si="4"/>
        <v>13941.9</v>
      </c>
      <c r="J12" s="30">
        <f t="shared" si="4"/>
        <v>13986.43</v>
      </c>
      <c r="K12" s="30">
        <f t="shared" si="4"/>
        <v>12528.16</v>
      </c>
      <c r="L12" s="30">
        <f t="shared" si="4"/>
        <v>12297.76</v>
      </c>
      <c r="M12" s="30">
        <f t="shared" si="4"/>
        <v>10410.43</v>
      </c>
      <c r="N12" s="31">
        <f t="shared" si="5"/>
        <v>285076.11</v>
      </c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3"/>
      <c r="K13" s="3"/>
      <c r="L13" s="3"/>
      <c r="M13" s="4"/>
      <c r="N13" s="4"/>
    </row>
    <row r="14" ht="15.75" customHeight="1">
      <c r="A14" s="9" t="s">
        <v>26</v>
      </c>
      <c r="B14" s="10" t="s">
        <v>4</v>
      </c>
      <c r="C14" s="10" t="s">
        <v>5</v>
      </c>
      <c r="D14" s="10" t="s">
        <v>6</v>
      </c>
      <c r="E14" s="9" t="s">
        <v>7</v>
      </c>
      <c r="F14" s="9" t="s">
        <v>8</v>
      </c>
      <c r="G14" s="9" t="s">
        <v>9</v>
      </c>
      <c r="H14" s="9" t="s">
        <v>10</v>
      </c>
      <c r="I14" s="9" t="s">
        <v>11</v>
      </c>
      <c r="J14" s="9" t="s">
        <v>12</v>
      </c>
      <c r="K14" s="9" t="s">
        <v>13</v>
      </c>
      <c r="L14" s="9" t="s">
        <v>14</v>
      </c>
      <c r="M14" s="9" t="s">
        <v>15</v>
      </c>
      <c r="N14" s="11" t="s">
        <v>16</v>
      </c>
    </row>
    <row r="15" ht="15.75" customHeight="1">
      <c r="A15" s="32" t="s">
        <v>27</v>
      </c>
      <c r="B15" s="33">
        <v>2616.38</v>
      </c>
      <c r="C15" s="33">
        <v>1471.18</v>
      </c>
      <c r="D15" s="34">
        <v>2374.55</v>
      </c>
      <c r="E15" s="35">
        <v>5490.53</v>
      </c>
      <c r="F15" s="33">
        <v>9555.48</v>
      </c>
      <c r="G15" s="33">
        <v>5217.44</v>
      </c>
      <c r="H15" s="33">
        <v>0.0</v>
      </c>
      <c r="I15" s="39">
        <v>1347.28</v>
      </c>
      <c r="J15" s="39">
        <v>907.63</v>
      </c>
      <c r="K15" s="48">
        <v>4975.8</v>
      </c>
      <c r="L15" s="66">
        <v>754.0</v>
      </c>
      <c r="M15" s="67">
        <v>0.0</v>
      </c>
      <c r="N15" s="37">
        <f t="shared" ref="N15:N27" si="6">SUM(B15:M15)</f>
        <v>34710.27</v>
      </c>
    </row>
    <row r="16" ht="15.75" customHeight="1">
      <c r="A16" s="38" t="s">
        <v>28</v>
      </c>
      <c r="B16" s="39"/>
      <c r="C16" s="39"/>
      <c r="D16" s="39"/>
      <c r="E16" s="40">
        <v>657.86</v>
      </c>
      <c r="F16" s="39"/>
      <c r="G16" s="39"/>
      <c r="H16" s="39"/>
      <c r="I16" s="39"/>
      <c r="J16" s="39"/>
      <c r="K16" s="39"/>
      <c r="L16" s="39"/>
      <c r="M16" s="39"/>
      <c r="N16" s="37">
        <f t="shared" si="6"/>
        <v>657.86</v>
      </c>
    </row>
    <row r="17" ht="15.75" customHeight="1">
      <c r="A17" s="42" t="s">
        <v>29</v>
      </c>
      <c r="B17" s="39">
        <v>0.0</v>
      </c>
      <c r="C17" s="39">
        <v>0.0</v>
      </c>
      <c r="D17" s="39">
        <v>0.0</v>
      </c>
      <c r="E17" s="39">
        <v>0.0</v>
      </c>
      <c r="F17" s="39">
        <v>0.0</v>
      </c>
      <c r="G17" s="39">
        <v>305.83</v>
      </c>
      <c r="H17" s="39">
        <v>1739.71</v>
      </c>
      <c r="I17" s="39">
        <v>409.9</v>
      </c>
      <c r="J17" s="39">
        <v>571.7</v>
      </c>
      <c r="K17" s="41">
        <v>451.0</v>
      </c>
      <c r="L17" s="68">
        <v>453.0</v>
      </c>
      <c r="M17" s="44">
        <v>186.0</v>
      </c>
      <c r="N17" s="37">
        <f t="shared" si="6"/>
        <v>4117.14</v>
      </c>
    </row>
    <row r="18" ht="15.75" customHeight="1">
      <c r="A18" s="42" t="s">
        <v>30</v>
      </c>
      <c r="B18" s="45"/>
      <c r="C18" s="45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7">
        <f t="shared" si="6"/>
        <v>0</v>
      </c>
    </row>
    <row r="19" ht="15.75" customHeight="1">
      <c r="A19" s="32" t="s">
        <v>31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7">
        <f t="shared" si="6"/>
        <v>0</v>
      </c>
    </row>
    <row r="20" ht="15.75" customHeight="1">
      <c r="A20" s="38" t="s">
        <v>32</v>
      </c>
      <c r="B20" s="39">
        <f t="shared" ref="B20:M20" si="7">B4*3.9%</f>
        <v>962.21775</v>
      </c>
      <c r="C20" s="39">
        <f t="shared" si="7"/>
        <v>771.93324</v>
      </c>
      <c r="D20" s="39">
        <f t="shared" si="7"/>
        <v>725.20071</v>
      </c>
      <c r="E20" s="39">
        <f t="shared" si="7"/>
        <v>858.07722</v>
      </c>
      <c r="F20" s="39">
        <f t="shared" si="7"/>
        <v>1267.59906</v>
      </c>
      <c r="G20" s="39">
        <f t="shared" si="7"/>
        <v>1097.83791</v>
      </c>
      <c r="H20" s="39">
        <f t="shared" si="7"/>
        <v>771.29949</v>
      </c>
      <c r="I20" s="39">
        <f t="shared" si="7"/>
        <v>725.00727</v>
      </c>
      <c r="J20" s="39">
        <f t="shared" si="7"/>
        <v>596.84586</v>
      </c>
      <c r="K20" s="39">
        <f t="shared" si="7"/>
        <v>717.561</v>
      </c>
      <c r="L20" s="39">
        <f t="shared" si="7"/>
        <v>532.34844</v>
      </c>
      <c r="M20" s="39">
        <f t="shared" si="7"/>
        <v>464.03136</v>
      </c>
      <c r="N20" s="37">
        <f t="shared" si="6"/>
        <v>9489.95931</v>
      </c>
    </row>
    <row r="21" ht="15.75" customHeight="1">
      <c r="A21" s="38" t="s">
        <v>33</v>
      </c>
      <c r="B21" s="39"/>
      <c r="C21" s="39"/>
      <c r="D21" s="39"/>
      <c r="E21" s="39"/>
      <c r="F21" s="39"/>
      <c r="G21" s="39"/>
      <c r="H21" s="39"/>
      <c r="I21" s="39"/>
      <c r="J21" s="39"/>
      <c r="K21" s="41"/>
      <c r="L21" s="46"/>
      <c r="M21" s="46"/>
      <c r="N21" s="37">
        <f t="shared" si="6"/>
        <v>0</v>
      </c>
    </row>
    <row r="22" ht="15.75" customHeight="1">
      <c r="A22" s="47" t="s">
        <v>34</v>
      </c>
      <c r="B22" s="39"/>
      <c r="C22" s="39"/>
      <c r="D22" s="39">
        <v>250.0</v>
      </c>
      <c r="E22" s="39">
        <v>250.0</v>
      </c>
      <c r="F22" s="39">
        <v>250.0</v>
      </c>
      <c r="G22" s="39">
        <v>250.0</v>
      </c>
      <c r="H22" s="39">
        <v>250.0</v>
      </c>
      <c r="I22" s="39">
        <v>250.0</v>
      </c>
      <c r="J22" s="39">
        <v>250.0</v>
      </c>
      <c r="K22" s="39">
        <v>250.0</v>
      </c>
      <c r="L22" s="39">
        <v>250.0</v>
      </c>
      <c r="M22" s="39">
        <v>250.0</v>
      </c>
      <c r="N22" s="37">
        <f t="shared" si="6"/>
        <v>2500</v>
      </c>
    </row>
    <row r="23" ht="15.75" customHeight="1">
      <c r="A23" s="38" t="s">
        <v>35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7">
        <f t="shared" si="6"/>
        <v>0</v>
      </c>
    </row>
    <row r="24" ht="15.75" customHeight="1">
      <c r="A24" s="38" t="s">
        <v>36</v>
      </c>
      <c r="B24" s="4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49"/>
      <c r="N24" s="37">
        <f t="shared" si="6"/>
        <v>0</v>
      </c>
    </row>
    <row r="25" ht="15.75" customHeight="1">
      <c r="A25" s="38" t="s">
        <v>37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49"/>
      <c r="N25" s="37">
        <f t="shared" si="6"/>
        <v>0</v>
      </c>
    </row>
    <row r="26" ht="15.75" customHeight="1">
      <c r="A26" s="32" t="s">
        <v>38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7">
        <f t="shared" si="6"/>
        <v>0</v>
      </c>
    </row>
    <row r="27" ht="15.75" customHeight="1">
      <c r="A27" s="24" t="s">
        <v>39</v>
      </c>
      <c r="B27" s="50">
        <f t="shared" ref="B27:M27" si="8">SUM(B15:B26)</f>
        <v>3578.59775</v>
      </c>
      <c r="C27" s="50">
        <f t="shared" si="8"/>
        <v>2243.11324</v>
      </c>
      <c r="D27" s="50">
        <f t="shared" si="8"/>
        <v>3349.75071</v>
      </c>
      <c r="E27" s="50">
        <f t="shared" si="8"/>
        <v>7256.46722</v>
      </c>
      <c r="F27" s="50">
        <f t="shared" si="8"/>
        <v>11073.07906</v>
      </c>
      <c r="G27" s="50">
        <f t="shared" si="8"/>
        <v>6871.10791</v>
      </c>
      <c r="H27" s="50">
        <f t="shared" si="8"/>
        <v>2761.00949</v>
      </c>
      <c r="I27" s="50">
        <f t="shared" si="8"/>
        <v>2732.18727</v>
      </c>
      <c r="J27" s="50">
        <f t="shared" si="8"/>
        <v>2326.17586</v>
      </c>
      <c r="K27" s="50">
        <f t="shared" si="8"/>
        <v>6394.361</v>
      </c>
      <c r="L27" s="50">
        <f t="shared" si="8"/>
        <v>1989.34844</v>
      </c>
      <c r="M27" s="50">
        <f t="shared" si="8"/>
        <v>900.03136</v>
      </c>
      <c r="N27" s="51">
        <f t="shared" si="6"/>
        <v>51475.22931</v>
      </c>
    </row>
    <row r="28" ht="15.75" customHeight="1">
      <c r="A28" s="8"/>
      <c r="B28" s="8"/>
      <c r="C28" s="8"/>
      <c r="D28" s="8"/>
      <c r="E28" s="52"/>
      <c r="F28" s="52"/>
      <c r="G28" s="52"/>
      <c r="H28" s="52"/>
      <c r="I28" s="52"/>
      <c r="J28" s="8"/>
      <c r="K28" s="8"/>
      <c r="L28" s="2"/>
      <c r="M28" s="4"/>
      <c r="N28" s="4"/>
    </row>
    <row r="29" ht="15.75" customHeight="1">
      <c r="A29" s="9" t="s">
        <v>40</v>
      </c>
      <c r="B29" s="10" t="s">
        <v>4</v>
      </c>
      <c r="C29" s="10" t="s">
        <v>5</v>
      </c>
      <c r="D29" s="10" t="s">
        <v>6</v>
      </c>
      <c r="E29" s="9" t="s">
        <v>7</v>
      </c>
      <c r="F29" s="9" t="s">
        <v>8</v>
      </c>
      <c r="G29" s="9" t="s">
        <v>9</v>
      </c>
      <c r="H29" s="9" t="s">
        <v>10</v>
      </c>
      <c r="I29" s="9" t="s">
        <v>11</v>
      </c>
      <c r="J29" s="9" t="s">
        <v>12</v>
      </c>
      <c r="K29" s="9" t="s">
        <v>13</v>
      </c>
      <c r="L29" s="9" t="s">
        <v>14</v>
      </c>
      <c r="M29" s="9" t="s">
        <v>15</v>
      </c>
      <c r="N29" s="53" t="s">
        <v>41</v>
      </c>
    </row>
    <row r="30" ht="15.75" customHeight="1">
      <c r="A30" s="24" t="s">
        <v>42</v>
      </c>
      <c r="B30" s="50">
        <f t="shared" ref="B30:M30" si="9">MINUS(B12,B27)</f>
        <v>21082.41225</v>
      </c>
      <c r="C30" s="50">
        <f t="shared" si="9"/>
        <v>16894.50676</v>
      </c>
      <c r="D30" s="50">
        <f t="shared" si="9"/>
        <v>16952.89929</v>
      </c>
      <c r="E30" s="50">
        <f t="shared" si="9"/>
        <v>16669.32278</v>
      </c>
      <c r="F30" s="50">
        <f t="shared" si="9"/>
        <v>54644.79094</v>
      </c>
      <c r="G30" s="50">
        <f t="shared" si="9"/>
        <v>36591.09209</v>
      </c>
      <c r="H30" s="50">
        <f t="shared" si="9"/>
        <v>21943.28051</v>
      </c>
      <c r="I30" s="50">
        <f t="shared" si="9"/>
        <v>11209.71273</v>
      </c>
      <c r="J30" s="50">
        <f t="shared" si="9"/>
        <v>11660.25414</v>
      </c>
      <c r="K30" s="50">
        <f t="shared" si="9"/>
        <v>6133.799</v>
      </c>
      <c r="L30" s="50">
        <f t="shared" si="9"/>
        <v>10308.41156</v>
      </c>
      <c r="M30" s="50">
        <f t="shared" si="9"/>
        <v>9510.39864</v>
      </c>
      <c r="N30" s="51">
        <f>SUM(B30:M30)</f>
        <v>233600.8807</v>
      </c>
    </row>
    <row r="31" ht="15.75" customHeight="1">
      <c r="A31" s="5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5.75" customHeight="1">
      <c r="A32" s="2"/>
      <c r="B32" s="2"/>
      <c r="C32" s="2"/>
      <c r="D32" s="2"/>
      <c r="E32" s="3" t="s">
        <v>43</v>
      </c>
      <c r="F32" s="2"/>
      <c r="G32" s="2"/>
      <c r="H32" s="2"/>
      <c r="I32" s="2"/>
      <c r="J32" s="2"/>
      <c r="K32" s="2"/>
      <c r="L32" s="2"/>
      <c r="M32" s="2"/>
      <c r="N32" s="2"/>
    </row>
    <row r="33" ht="15.75" customHeight="1">
      <c r="A33" s="55" t="s">
        <v>44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</row>
    <row r="34" ht="15.75" customHeight="1">
      <c r="A34" s="2" t="s">
        <v>27</v>
      </c>
      <c r="B34" s="57"/>
      <c r="C34" s="2"/>
      <c r="D34" s="2"/>
      <c r="E34" s="3"/>
      <c r="F34" s="2"/>
      <c r="G34" s="2"/>
      <c r="H34" s="2"/>
      <c r="I34" s="2"/>
      <c r="J34" s="2"/>
      <c r="K34" s="2"/>
      <c r="L34" s="2"/>
      <c r="M34" s="3"/>
      <c r="N34" s="2"/>
    </row>
    <row r="35" ht="15.75" customHeight="1">
      <c r="A35" s="2" t="s">
        <v>45</v>
      </c>
      <c r="B35" s="57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3"/>
    </row>
    <row r="36" ht="15.75" customHeight="1">
      <c r="A36" s="2" t="s">
        <v>46</v>
      </c>
      <c r="B36" s="58"/>
      <c r="C36" s="2"/>
      <c r="D36" s="2"/>
      <c r="E36" s="2"/>
      <c r="F36" s="2"/>
      <c r="G36" s="2"/>
      <c r="H36" s="2"/>
      <c r="J36" s="2"/>
      <c r="K36" s="2"/>
      <c r="L36" s="2"/>
      <c r="M36" s="3"/>
      <c r="N36" s="2"/>
    </row>
    <row r="37" ht="15.75" customHeight="1">
      <c r="A37" s="2" t="s">
        <v>30</v>
      </c>
      <c r="B37" s="57"/>
      <c r="C37" s="2"/>
      <c r="D37" s="2"/>
      <c r="E37" s="2"/>
      <c r="F37" s="2"/>
      <c r="G37" s="2"/>
      <c r="H37" s="2"/>
      <c r="J37" s="2"/>
      <c r="K37" s="2"/>
      <c r="L37" s="2"/>
      <c r="M37" s="2"/>
      <c r="N37" s="2"/>
    </row>
    <row r="38" ht="15.75" customHeight="1">
      <c r="A38" s="3" t="s">
        <v>31</v>
      </c>
      <c r="B38" s="57"/>
      <c r="C38" s="2"/>
      <c r="D38" s="2"/>
      <c r="E38" s="2"/>
      <c r="F38" s="2"/>
      <c r="G38" s="2"/>
      <c r="J38" s="2"/>
      <c r="K38" s="2"/>
      <c r="L38" s="2"/>
      <c r="M38" s="2"/>
      <c r="N38" s="2"/>
    </row>
    <row r="39" ht="15.75" customHeight="1">
      <c r="A39" s="2"/>
      <c r="B39" s="57"/>
      <c r="C39" s="2"/>
      <c r="D39" s="2"/>
      <c r="E39" s="2"/>
      <c r="F39" s="2"/>
      <c r="G39" s="2"/>
      <c r="J39" s="2"/>
      <c r="K39" s="2"/>
      <c r="L39" s="2"/>
      <c r="M39" s="2"/>
      <c r="N39" s="2"/>
    </row>
    <row r="40" ht="15.75" customHeight="1">
      <c r="A40" s="54" t="s">
        <v>47</v>
      </c>
      <c r="B40" s="2"/>
      <c r="C40" s="2"/>
      <c r="D40" s="2"/>
      <c r="E40" s="2"/>
      <c r="F40" s="2"/>
      <c r="G40" s="2"/>
      <c r="J40" s="2"/>
      <c r="K40" s="2"/>
      <c r="L40" s="2"/>
      <c r="M40" s="2"/>
      <c r="N40" s="2"/>
    </row>
    <row r="41" ht="15.75" customHeight="1">
      <c r="A41" s="3" t="s">
        <v>50</v>
      </c>
      <c r="B41" s="2"/>
      <c r="C41" s="2"/>
      <c r="D41" s="2"/>
      <c r="E41" s="2"/>
      <c r="F41" s="2"/>
      <c r="G41" s="2"/>
      <c r="H41" s="2"/>
      <c r="J41" s="2"/>
      <c r="K41" s="2"/>
      <c r="L41" s="2"/>
      <c r="M41" s="2"/>
      <c r="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J42" s="2"/>
      <c r="K42" s="2"/>
      <c r="L42" s="2"/>
      <c r="M42" s="2"/>
      <c r="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J43" s="2"/>
      <c r="K43" s="2"/>
      <c r="L43" s="2"/>
      <c r="M43" s="2"/>
      <c r="N43" s="2"/>
    </row>
    <row r="44" ht="15.75" customHeight="1">
      <c r="A44" s="52"/>
      <c r="B44" s="59"/>
      <c r="C44" s="2"/>
      <c r="D44" s="2"/>
      <c r="E44" s="2"/>
      <c r="F44" s="2"/>
      <c r="G44" s="2"/>
      <c r="H44" s="2"/>
      <c r="J44" s="2"/>
      <c r="K44" s="2"/>
      <c r="L44" s="2"/>
      <c r="M44" s="2"/>
      <c r="N44" s="2"/>
    </row>
    <row r="45" ht="15.75" customHeight="1">
      <c r="A45" s="52"/>
      <c r="B45" s="6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5.75" customHeight="1">
      <c r="A46" s="8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5.75" customHeight="1">
      <c r="A47" s="61"/>
      <c r="B47" s="6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.75" customHeight="1">
      <c r="A48" s="52"/>
      <c r="B48" s="6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</sheetData>
  <mergeCells count="1">
    <mergeCell ref="A33:B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0.71"/>
    <col customWidth="1" min="2" max="6" width="14.43"/>
    <col customWidth="1" min="12" max="12" width="14.29"/>
    <col customWidth="1" min="14" max="14" width="24.29"/>
  </cols>
  <sheetData>
    <row r="1" ht="15.75" customHeight="1">
      <c r="A1" s="1" t="s">
        <v>0</v>
      </c>
      <c r="B1" s="2" t="str">
        <f t="shared" ref="B1:C1" si="1">B4*B2</f>
        <v>#VALUE!</v>
      </c>
      <c r="C1" s="2" t="str">
        <f t="shared" si="1"/>
        <v>#VALUE!</v>
      </c>
      <c r="D1" s="2"/>
      <c r="E1" s="3"/>
      <c r="F1" s="2"/>
      <c r="G1" s="2"/>
      <c r="H1" s="2"/>
      <c r="I1" s="2"/>
      <c r="J1" s="2"/>
      <c r="K1" s="2"/>
      <c r="L1" s="2"/>
      <c r="M1" s="4"/>
      <c r="N1" s="4"/>
    </row>
    <row r="2" ht="15.75" customHeight="1">
      <c r="A2" s="5" t="s">
        <v>1</v>
      </c>
      <c r="B2" s="6" t="s">
        <v>2</v>
      </c>
      <c r="C2" s="6" t="s">
        <v>2</v>
      </c>
      <c r="D2" s="7"/>
      <c r="E2" s="8"/>
      <c r="F2" s="8"/>
      <c r="G2" s="8"/>
      <c r="H2" s="8"/>
      <c r="I2" s="8"/>
      <c r="J2" s="8"/>
      <c r="K2" s="8"/>
      <c r="L2" s="2"/>
      <c r="M2" s="4"/>
      <c r="N2" s="4"/>
    </row>
    <row r="3" ht="15.75" customHeight="1">
      <c r="A3" s="9" t="s">
        <v>3</v>
      </c>
      <c r="B3" s="10" t="s">
        <v>4</v>
      </c>
      <c r="C3" s="10" t="s">
        <v>5</v>
      </c>
      <c r="D3" s="10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11" t="s">
        <v>16</v>
      </c>
    </row>
    <row r="4" ht="15.75" customHeight="1">
      <c r="A4" s="12" t="s">
        <v>17</v>
      </c>
      <c r="B4" s="13">
        <v>9526.04</v>
      </c>
      <c r="C4" s="14">
        <v>8333.28</v>
      </c>
      <c r="D4" s="15"/>
      <c r="E4" s="14"/>
      <c r="F4" s="16"/>
      <c r="G4" s="16"/>
      <c r="H4" s="16"/>
      <c r="I4" s="16"/>
      <c r="J4" s="16"/>
      <c r="K4" s="64"/>
      <c r="L4" s="16"/>
      <c r="M4" s="64"/>
      <c r="N4" s="17">
        <f t="shared" ref="N4:N8" si="2">SUM(B4:M4)</f>
        <v>17859.32</v>
      </c>
    </row>
    <row r="5" ht="15.75" customHeight="1">
      <c r="A5" s="12" t="s">
        <v>18</v>
      </c>
      <c r="B5" s="16">
        <v>1292.33</v>
      </c>
      <c r="C5" s="16">
        <v>946.29</v>
      </c>
      <c r="D5" s="16"/>
      <c r="E5" s="16"/>
      <c r="F5" s="16"/>
      <c r="G5" s="16"/>
      <c r="H5" s="20"/>
      <c r="I5" s="16"/>
      <c r="J5" s="16"/>
      <c r="K5" s="16"/>
      <c r="L5" s="21"/>
      <c r="M5" s="65"/>
      <c r="N5" s="17">
        <f t="shared" si="2"/>
        <v>2238.62</v>
      </c>
    </row>
    <row r="6" ht="15.75" customHeight="1">
      <c r="A6" s="12" t="s">
        <v>19</v>
      </c>
      <c r="C6" s="14"/>
      <c r="D6" s="19"/>
      <c r="E6" s="20"/>
      <c r="F6" s="16"/>
      <c r="G6" s="14"/>
      <c r="H6" s="21"/>
      <c r="I6" s="20"/>
      <c r="J6" s="20"/>
      <c r="K6" s="22"/>
      <c r="L6" s="21"/>
      <c r="M6" s="21"/>
      <c r="N6" s="17">
        <f t="shared" si="2"/>
        <v>0</v>
      </c>
    </row>
    <row r="7" ht="15.75" customHeight="1">
      <c r="A7" s="12" t="s">
        <v>20</v>
      </c>
      <c r="B7" s="16">
        <v>2834.96</v>
      </c>
      <c r="C7" s="14"/>
      <c r="D7" s="19"/>
      <c r="E7" s="16"/>
      <c r="F7" s="23"/>
      <c r="G7" s="16"/>
      <c r="H7" s="16"/>
      <c r="I7" s="16"/>
      <c r="J7" s="16"/>
      <c r="K7" s="16"/>
      <c r="L7" s="16"/>
      <c r="M7" s="16"/>
      <c r="N7" s="17">
        <f t="shared" si="2"/>
        <v>2834.96</v>
      </c>
    </row>
    <row r="8" ht="15.75" customHeight="1">
      <c r="A8" s="24" t="s">
        <v>22</v>
      </c>
      <c r="B8" s="25">
        <f t="shared" ref="B8:M8" si="3">SUM(B4:B7)</f>
        <v>13653.33</v>
      </c>
      <c r="C8" s="25">
        <f t="shared" si="3"/>
        <v>9279.57</v>
      </c>
      <c r="D8" s="25">
        <f t="shared" si="3"/>
        <v>0</v>
      </c>
      <c r="E8" s="25">
        <f t="shared" si="3"/>
        <v>0</v>
      </c>
      <c r="F8" s="25">
        <f t="shared" si="3"/>
        <v>0</v>
      </c>
      <c r="G8" s="25">
        <f t="shared" si="3"/>
        <v>0</v>
      </c>
      <c r="H8" s="25">
        <f t="shared" si="3"/>
        <v>0</v>
      </c>
      <c r="I8" s="25">
        <f t="shared" si="3"/>
        <v>0</v>
      </c>
      <c r="J8" s="25">
        <f t="shared" si="3"/>
        <v>0</v>
      </c>
      <c r="K8" s="25">
        <f t="shared" si="3"/>
        <v>0</v>
      </c>
      <c r="L8" s="25">
        <f t="shared" si="3"/>
        <v>0</v>
      </c>
      <c r="M8" s="25">
        <f t="shared" si="3"/>
        <v>0</v>
      </c>
      <c r="N8" s="26">
        <f t="shared" si="2"/>
        <v>22932.9</v>
      </c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"/>
      <c r="N9" s="4"/>
    </row>
    <row r="10" ht="15.75" customHeight="1">
      <c r="A10" s="9" t="s">
        <v>23</v>
      </c>
      <c r="B10" s="10" t="s">
        <v>4</v>
      </c>
      <c r="C10" s="10" t="s">
        <v>5</v>
      </c>
      <c r="D10" s="10" t="s">
        <v>6</v>
      </c>
      <c r="E10" s="9" t="s">
        <v>7</v>
      </c>
      <c r="F10" s="9" t="s">
        <v>8</v>
      </c>
      <c r="G10" s="9" t="s">
        <v>9</v>
      </c>
      <c r="H10" s="9" t="s">
        <v>10</v>
      </c>
      <c r="I10" s="9" t="s">
        <v>11</v>
      </c>
      <c r="J10" s="9" t="s">
        <v>12</v>
      </c>
      <c r="K10" s="9" t="s">
        <v>13</v>
      </c>
      <c r="L10" s="9" t="s">
        <v>14</v>
      </c>
      <c r="M10" s="9" t="s">
        <v>15</v>
      </c>
      <c r="N10" s="11" t="s">
        <v>16</v>
      </c>
    </row>
    <row r="11" ht="15.75" customHeight="1">
      <c r="A11" s="12" t="s">
        <v>24</v>
      </c>
      <c r="B11" s="16">
        <v>2836.22</v>
      </c>
      <c r="C11" s="14">
        <v>3135.45</v>
      </c>
      <c r="D11" s="14"/>
      <c r="E11" s="14"/>
      <c r="F11" s="14"/>
      <c r="G11" s="14"/>
      <c r="H11" s="27"/>
      <c r="I11" s="14"/>
      <c r="J11" s="14"/>
      <c r="K11" s="16"/>
      <c r="L11" s="16"/>
      <c r="M11" s="28"/>
      <c r="N11" s="29">
        <f t="shared" ref="N11:N12" si="5">SUM(B11:M11)</f>
        <v>5971.67</v>
      </c>
    </row>
    <row r="12" ht="15.75" customHeight="1">
      <c r="A12" s="24" t="s">
        <v>25</v>
      </c>
      <c r="B12" s="30">
        <f t="shared" ref="B12:M12" si="4">MINUS(B8,B11)</f>
        <v>10817.11</v>
      </c>
      <c r="C12" s="30">
        <f t="shared" si="4"/>
        <v>6144.12</v>
      </c>
      <c r="D12" s="30">
        <f t="shared" si="4"/>
        <v>0</v>
      </c>
      <c r="E12" s="30">
        <f t="shared" si="4"/>
        <v>0</v>
      </c>
      <c r="F12" s="30">
        <f t="shared" si="4"/>
        <v>0</v>
      </c>
      <c r="G12" s="30">
        <f t="shared" si="4"/>
        <v>0</v>
      </c>
      <c r="H12" s="30">
        <f t="shared" si="4"/>
        <v>0</v>
      </c>
      <c r="I12" s="30">
        <f t="shared" si="4"/>
        <v>0</v>
      </c>
      <c r="J12" s="30">
        <f t="shared" si="4"/>
        <v>0</v>
      </c>
      <c r="K12" s="30">
        <f t="shared" si="4"/>
        <v>0</v>
      </c>
      <c r="L12" s="30">
        <f t="shared" si="4"/>
        <v>0</v>
      </c>
      <c r="M12" s="30">
        <f t="shared" si="4"/>
        <v>0</v>
      </c>
      <c r="N12" s="31">
        <f t="shared" si="5"/>
        <v>16961.23</v>
      </c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3"/>
      <c r="K13" s="3"/>
      <c r="L13" s="3"/>
      <c r="M13" s="4"/>
      <c r="N13" s="4"/>
    </row>
    <row r="14" ht="15.75" customHeight="1">
      <c r="A14" s="9" t="s">
        <v>26</v>
      </c>
      <c r="B14" s="10" t="s">
        <v>4</v>
      </c>
      <c r="C14" s="10" t="s">
        <v>5</v>
      </c>
      <c r="D14" s="10" t="s">
        <v>6</v>
      </c>
      <c r="E14" s="9" t="s">
        <v>7</v>
      </c>
      <c r="F14" s="9" t="s">
        <v>8</v>
      </c>
      <c r="G14" s="9" t="s">
        <v>9</v>
      </c>
      <c r="H14" s="9" t="s">
        <v>10</v>
      </c>
      <c r="I14" s="9" t="s">
        <v>11</v>
      </c>
      <c r="J14" s="9" t="s">
        <v>12</v>
      </c>
      <c r="K14" s="9" t="s">
        <v>13</v>
      </c>
      <c r="L14" s="9" t="s">
        <v>14</v>
      </c>
      <c r="M14" s="9" t="s">
        <v>15</v>
      </c>
      <c r="N14" s="11" t="s">
        <v>16</v>
      </c>
    </row>
    <row r="15" ht="15.75" customHeight="1">
      <c r="A15" s="32" t="s">
        <v>27</v>
      </c>
      <c r="B15" s="34">
        <v>600.0</v>
      </c>
      <c r="C15" s="33"/>
      <c r="D15" s="34"/>
      <c r="E15" s="35"/>
      <c r="F15" s="33"/>
      <c r="G15" s="33"/>
      <c r="H15" s="33"/>
      <c r="I15" s="39"/>
      <c r="J15" s="39"/>
      <c r="K15" s="48"/>
      <c r="L15" s="66"/>
      <c r="M15" s="67"/>
      <c r="N15" s="37">
        <f t="shared" ref="N15:N27" si="6">SUM(B15:M15)</f>
        <v>600</v>
      </c>
    </row>
    <row r="16" ht="15.75" customHeight="1">
      <c r="A16" s="38" t="s">
        <v>28</v>
      </c>
      <c r="B16" s="39"/>
      <c r="C16" s="39"/>
      <c r="D16" s="39"/>
      <c r="E16" s="40"/>
      <c r="F16" s="39"/>
      <c r="G16" s="39"/>
      <c r="H16" s="39"/>
      <c r="I16" s="39"/>
      <c r="J16" s="39"/>
      <c r="K16" s="39"/>
      <c r="L16" s="39"/>
      <c r="M16" s="39"/>
      <c r="N16" s="37">
        <f t="shared" si="6"/>
        <v>0</v>
      </c>
    </row>
    <row r="17" ht="15.75" customHeight="1">
      <c r="A17" s="42" t="s">
        <v>29</v>
      </c>
      <c r="B17" s="39">
        <v>292.0</v>
      </c>
      <c r="C17" s="39">
        <v>285.0</v>
      </c>
      <c r="D17" s="39"/>
      <c r="E17" s="39"/>
      <c r="F17" s="39"/>
      <c r="G17" s="39"/>
      <c r="H17" s="39"/>
      <c r="I17" s="39"/>
      <c r="J17" s="39"/>
      <c r="K17" s="41"/>
      <c r="L17" s="68"/>
      <c r="M17" s="44"/>
      <c r="N17" s="37">
        <f t="shared" si="6"/>
        <v>577</v>
      </c>
    </row>
    <row r="18" ht="15.75" customHeight="1">
      <c r="A18" s="42" t="s">
        <v>30</v>
      </c>
      <c r="B18" s="45"/>
      <c r="C18" s="45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7">
        <f t="shared" si="6"/>
        <v>0</v>
      </c>
    </row>
    <row r="19" ht="15.75" customHeight="1">
      <c r="A19" s="32" t="s">
        <v>31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7">
        <f t="shared" si="6"/>
        <v>0</v>
      </c>
    </row>
    <row r="20" ht="15.75" customHeight="1">
      <c r="A20" s="38" t="s">
        <v>32</v>
      </c>
      <c r="B20" s="39">
        <v>381.04</v>
      </c>
      <c r="C20" s="39">
        <v>333.32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7">
        <f t="shared" si="6"/>
        <v>714.36</v>
      </c>
    </row>
    <row r="21" ht="15.75" customHeight="1">
      <c r="A21" s="38" t="s">
        <v>33</v>
      </c>
      <c r="B21" s="39"/>
      <c r="C21" s="39"/>
      <c r="D21" s="39"/>
      <c r="E21" s="39"/>
      <c r="F21" s="39"/>
      <c r="G21" s="39"/>
      <c r="H21" s="39"/>
      <c r="I21" s="39"/>
      <c r="J21" s="39"/>
      <c r="K21" s="41"/>
      <c r="L21" s="46"/>
      <c r="M21" s="46"/>
      <c r="N21" s="37">
        <f t="shared" si="6"/>
        <v>0</v>
      </c>
    </row>
    <row r="22" ht="15.75" customHeight="1">
      <c r="A22" s="47" t="s">
        <v>34</v>
      </c>
      <c r="B22" s="39">
        <v>250.0</v>
      </c>
      <c r="C22" s="39">
        <v>100.0</v>
      </c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7">
        <f t="shared" si="6"/>
        <v>350</v>
      </c>
    </row>
    <row r="23" ht="15.75" customHeight="1">
      <c r="A23" s="38" t="s">
        <v>35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7">
        <f t="shared" si="6"/>
        <v>0</v>
      </c>
    </row>
    <row r="24" ht="15.75" customHeight="1">
      <c r="A24" s="38" t="s">
        <v>36</v>
      </c>
      <c r="B24" s="48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49"/>
      <c r="N24" s="37">
        <f t="shared" si="6"/>
        <v>0</v>
      </c>
    </row>
    <row r="25" ht="15.75" customHeight="1">
      <c r="A25" s="38" t="s">
        <v>37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49"/>
      <c r="N25" s="37">
        <f t="shared" si="6"/>
        <v>0</v>
      </c>
    </row>
    <row r="26" ht="15.75" customHeight="1">
      <c r="A26" s="32" t="s">
        <v>38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7">
        <f t="shared" si="6"/>
        <v>0</v>
      </c>
    </row>
    <row r="27" ht="15.75" customHeight="1">
      <c r="A27" s="24" t="s">
        <v>39</v>
      </c>
      <c r="B27" s="50">
        <f t="shared" ref="B27:M27" si="7">SUM(B15:B26)</f>
        <v>1523.04</v>
      </c>
      <c r="C27" s="50">
        <f t="shared" si="7"/>
        <v>718.32</v>
      </c>
      <c r="D27" s="50">
        <f t="shared" si="7"/>
        <v>0</v>
      </c>
      <c r="E27" s="50">
        <f t="shared" si="7"/>
        <v>0</v>
      </c>
      <c r="F27" s="50">
        <f t="shared" si="7"/>
        <v>0</v>
      </c>
      <c r="G27" s="50">
        <f t="shared" si="7"/>
        <v>0</v>
      </c>
      <c r="H27" s="50">
        <f t="shared" si="7"/>
        <v>0</v>
      </c>
      <c r="I27" s="50">
        <f t="shared" si="7"/>
        <v>0</v>
      </c>
      <c r="J27" s="50">
        <f t="shared" si="7"/>
        <v>0</v>
      </c>
      <c r="K27" s="50">
        <f t="shared" si="7"/>
        <v>0</v>
      </c>
      <c r="L27" s="50">
        <f t="shared" si="7"/>
        <v>0</v>
      </c>
      <c r="M27" s="50">
        <f t="shared" si="7"/>
        <v>0</v>
      </c>
      <c r="N27" s="51">
        <f t="shared" si="6"/>
        <v>2241.36</v>
      </c>
    </row>
    <row r="28" ht="15.75" customHeight="1">
      <c r="A28" s="8"/>
      <c r="B28" s="8"/>
      <c r="C28" s="8"/>
      <c r="D28" s="8"/>
      <c r="E28" s="52"/>
      <c r="F28" s="52"/>
      <c r="G28" s="52"/>
      <c r="H28" s="52"/>
      <c r="I28" s="52"/>
      <c r="J28" s="8"/>
      <c r="K28" s="8"/>
      <c r="L28" s="2"/>
      <c r="M28" s="4"/>
      <c r="N28" s="4"/>
    </row>
    <row r="29" ht="15.75" customHeight="1">
      <c r="A29" s="9" t="s">
        <v>40</v>
      </c>
      <c r="B29" s="10" t="s">
        <v>4</v>
      </c>
      <c r="C29" s="10" t="s">
        <v>5</v>
      </c>
      <c r="D29" s="10" t="s">
        <v>6</v>
      </c>
      <c r="E29" s="9" t="s">
        <v>7</v>
      </c>
      <c r="F29" s="9" t="s">
        <v>8</v>
      </c>
      <c r="G29" s="9" t="s">
        <v>9</v>
      </c>
      <c r="H29" s="9" t="s">
        <v>10</v>
      </c>
      <c r="I29" s="9" t="s">
        <v>11</v>
      </c>
      <c r="J29" s="9" t="s">
        <v>12</v>
      </c>
      <c r="K29" s="9" t="s">
        <v>13</v>
      </c>
      <c r="L29" s="9" t="s">
        <v>14</v>
      </c>
      <c r="M29" s="9" t="s">
        <v>15</v>
      </c>
      <c r="N29" s="53" t="s">
        <v>41</v>
      </c>
    </row>
    <row r="30" ht="15.75" customHeight="1">
      <c r="A30" s="24" t="s">
        <v>42</v>
      </c>
      <c r="B30" s="50">
        <f t="shared" ref="B30:M30" si="8">MINUS(B12,B27)</f>
        <v>9294.07</v>
      </c>
      <c r="C30" s="50">
        <f t="shared" si="8"/>
        <v>5425.8</v>
      </c>
      <c r="D30" s="50">
        <f t="shared" si="8"/>
        <v>0</v>
      </c>
      <c r="E30" s="50">
        <f t="shared" si="8"/>
        <v>0</v>
      </c>
      <c r="F30" s="50">
        <f t="shared" si="8"/>
        <v>0</v>
      </c>
      <c r="G30" s="50">
        <f t="shared" si="8"/>
        <v>0</v>
      </c>
      <c r="H30" s="50">
        <f t="shared" si="8"/>
        <v>0</v>
      </c>
      <c r="I30" s="50">
        <f t="shared" si="8"/>
        <v>0</v>
      </c>
      <c r="J30" s="50">
        <f t="shared" si="8"/>
        <v>0</v>
      </c>
      <c r="K30" s="50">
        <f t="shared" si="8"/>
        <v>0</v>
      </c>
      <c r="L30" s="50">
        <f t="shared" si="8"/>
        <v>0</v>
      </c>
      <c r="M30" s="50">
        <f t="shared" si="8"/>
        <v>0</v>
      </c>
      <c r="N30" s="51">
        <f>SUM(B30:M30)</f>
        <v>14719.87</v>
      </c>
    </row>
    <row r="31" ht="15.75" customHeight="1">
      <c r="A31" s="5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5.75" customHeight="1">
      <c r="A32" s="2"/>
      <c r="B32" s="2"/>
      <c r="C32" s="2"/>
      <c r="D32" s="2"/>
      <c r="E32" s="3"/>
      <c r="F32" s="2"/>
      <c r="G32" s="2"/>
      <c r="H32" s="2"/>
      <c r="I32" s="2"/>
      <c r="J32" s="2"/>
      <c r="K32" s="2"/>
      <c r="L32" s="2"/>
      <c r="M32" s="2"/>
      <c r="N32" s="2"/>
    </row>
    <row r="33" ht="15.75" customHeight="1">
      <c r="A33" s="55" t="s">
        <v>44</v>
      </c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</row>
    <row r="34" ht="15.75" customHeight="1">
      <c r="A34" s="2" t="s">
        <v>27</v>
      </c>
      <c r="B34" s="57"/>
      <c r="C34" s="2"/>
      <c r="D34" s="2"/>
      <c r="E34" s="3"/>
      <c r="F34" s="2"/>
      <c r="G34" s="2"/>
      <c r="H34" s="2"/>
      <c r="I34" s="2"/>
      <c r="J34" s="2"/>
      <c r="K34" s="2"/>
      <c r="L34" s="2"/>
      <c r="M34" s="3"/>
      <c r="N34" s="2"/>
    </row>
    <row r="35" ht="15.75" customHeight="1">
      <c r="A35" s="2" t="s">
        <v>45</v>
      </c>
      <c r="B35" s="57"/>
      <c r="C35" s="2"/>
      <c r="D35" s="2"/>
      <c r="E35" s="2"/>
      <c r="F35" s="2"/>
      <c r="G35" s="2"/>
      <c r="H35" s="2"/>
      <c r="I35" s="2"/>
      <c r="J35" s="2"/>
      <c r="K35" s="2"/>
      <c r="L35" s="2"/>
      <c r="M35" s="3"/>
      <c r="N35" s="3"/>
    </row>
    <row r="36" ht="15.75" customHeight="1">
      <c r="A36" s="2" t="s">
        <v>46</v>
      </c>
      <c r="B36" s="58"/>
      <c r="C36" s="2"/>
      <c r="D36" s="2"/>
      <c r="E36" s="2"/>
      <c r="F36" s="2"/>
      <c r="G36" s="2"/>
      <c r="H36" s="2"/>
      <c r="J36" s="2"/>
      <c r="K36" s="2"/>
      <c r="L36" s="2"/>
      <c r="M36" s="3"/>
      <c r="N36" s="2"/>
    </row>
    <row r="37" ht="15.75" customHeight="1">
      <c r="A37" s="2" t="s">
        <v>30</v>
      </c>
      <c r="B37" s="57"/>
      <c r="C37" s="2"/>
      <c r="D37" s="2"/>
      <c r="E37" s="2"/>
      <c r="F37" s="2"/>
      <c r="G37" s="2"/>
      <c r="H37" s="2"/>
      <c r="J37" s="2"/>
      <c r="K37" s="2"/>
      <c r="L37" s="2"/>
      <c r="M37" s="2"/>
      <c r="N37" s="2"/>
    </row>
    <row r="38" ht="15.75" customHeight="1">
      <c r="A38" s="3" t="s">
        <v>31</v>
      </c>
      <c r="B38" s="57"/>
      <c r="C38" s="2"/>
      <c r="D38" s="2"/>
      <c r="E38" s="2"/>
      <c r="F38" s="2"/>
      <c r="G38" s="2"/>
      <c r="J38" s="2"/>
      <c r="K38" s="2"/>
      <c r="L38" s="2"/>
      <c r="M38" s="2"/>
      <c r="N38" s="2"/>
    </row>
    <row r="39" ht="15.75" customHeight="1">
      <c r="A39" s="2"/>
      <c r="B39" s="57"/>
      <c r="C39" s="2"/>
      <c r="D39" s="2"/>
      <c r="E39" s="2"/>
      <c r="F39" s="2"/>
      <c r="G39" s="2"/>
      <c r="J39" s="2"/>
      <c r="K39" s="2"/>
      <c r="L39" s="2"/>
      <c r="M39" s="2"/>
      <c r="N39" s="2"/>
    </row>
    <row r="40" ht="15.75" customHeight="1">
      <c r="A40" s="54" t="s">
        <v>47</v>
      </c>
      <c r="B40" s="2"/>
      <c r="C40" s="2"/>
      <c r="D40" s="2"/>
      <c r="E40" s="2"/>
      <c r="F40" s="2"/>
      <c r="G40" s="2"/>
      <c r="J40" s="2"/>
      <c r="K40" s="2"/>
      <c r="L40" s="2"/>
      <c r="M40" s="2"/>
      <c r="N40" s="2"/>
    </row>
    <row r="41" ht="15.75" customHeight="1">
      <c r="A41" s="3" t="s">
        <v>50</v>
      </c>
      <c r="B41" s="2"/>
      <c r="C41" s="2"/>
      <c r="D41" s="2"/>
      <c r="E41" s="2"/>
      <c r="F41" s="2"/>
      <c r="G41" s="2"/>
      <c r="H41" s="2"/>
      <c r="J41" s="2"/>
      <c r="K41" s="2"/>
      <c r="L41" s="2"/>
      <c r="M41" s="2"/>
      <c r="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J42" s="2"/>
      <c r="K42" s="2"/>
      <c r="L42" s="2"/>
      <c r="M42" s="2"/>
      <c r="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J43" s="2"/>
      <c r="K43" s="2"/>
      <c r="L43" s="2"/>
      <c r="M43" s="2"/>
      <c r="N43" s="2"/>
    </row>
    <row r="44" ht="15.75" customHeight="1">
      <c r="A44" s="52"/>
      <c r="B44" s="59"/>
      <c r="C44" s="2"/>
      <c r="D44" s="2"/>
      <c r="E44" s="2"/>
      <c r="F44" s="2"/>
      <c r="G44" s="2"/>
      <c r="H44" s="2"/>
      <c r="J44" s="2"/>
      <c r="K44" s="2"/>
      <c r="L44" s="2"/>
      <c r="M44" s="2"/>
      <c r="N44" s="2"/>
    </row>
    <row r="45" ht="15.75" customHeight="1">
      <c r="A45" s="52"/>
      <c r="B45" s="6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5.75" customHeight="1">
      <c r="A46" s="8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5.75" customHeight="1">
      <c r="A47" s="61"/>
      <c r="B47" s="6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.75" customHeight="1">
      <c r="A48" s="52"/>
      <c r="B48" s="6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</sheetData>
  <mergeCells count="1">
    <mergeCell ref="A33:B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9"/>
      <c r="B1" s="69"/>
      <c r="C1" s="69"/>
      <c r="D1" s="69"/>
      <c r="E1" s="69"/>
    </row>
  </sheetData>
  <drawing r:id="rId1"/>
</worksheet>
</file>