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5" sheetId="2" r:id="rId5"/>
    <sheet state="visible" name="2026" sheetId="3" r:id="rId6"/>
  </sheets>
  <definedNames/>
  <calcPr/>
  <extLst>
    <ext uri="GoogleSheetsCustomDataVersion2">
      <go:sheetsCustomData xmlns:go="http://customooxmlschemas.google.com/" r:id="rId7" roundtripDataChecksum="XFnSU0OntnUEBpDqR/ZNm1k9wEOD/bmoeJa9H6YH8wc="/>
    </ext>
  </extLst>
</workbook>
</file>

<file path=xl/sharedStrings.xml><?xml version="1.0" encoding="utf-8"?>
<sst xmlns="http://schemas.openxmlformats.org/spreadsheetml/2006/main" count="232" uniqueCount="42">
  <si>
    <t>UNITED KINGDOM</t>
  </si>
  <si>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</si>
  <si>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</si>
  <si>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</si>
  <si>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</si>
  <si>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</si>
  <si>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</si>
  <si>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</si>
  <si>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</si>
  <si>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</si>
  <si>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</si>
  <si>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</si>
  <si>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</si>
  <si>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</si>
  <si>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</si>
  <si>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Total</t>
  </si>
  <si>
    <t>Sales</t>
  </si>
  <si>
    <t>Refunds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</si>
  <si>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</si>
  <si>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</si>
  <si>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</si>
  <si>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</si>
  <si>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</si>
  <si>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</si>
  <si>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</si>
  <si>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</si>
  <si>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</si>
  <si>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</si>
  <si>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</si>
  <si>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Apps &amp; Software</t>
  </si>
  <si>
    <t>(Klaviyo, TripleWhale)</t>
  </si>
  <si>
    <t>Consultancy Agency</t>
  </si>
  <si>
    <t>Virtual Assistant(s)</t>
  </si>
  <si>
    <t>Email Agency</t>
  </si>
  <si>
    <t>Disputes &amp; Chargebacks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</si>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</sst>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&quot; &quot;#,##0.00"/>
    <numFmt numFmtId="165" formatCode="[$$-409]&quot; &quot;#,##0"/>
    <numFmt numFmtId="166" formatCode="[$$]#,##0.00"/>
  </numFmts>
  <fonts count="14">
    <font>
      <sz val="10.0"/>
      <color rgb="FF000000"/>
      <name val="Arial"/>
      <scheme val="minor"/>
    </font>
    <font>
      <b/>
      <sz val="12.0"/>
      <color rgb="FFFF9900"/>
      <name val="Montserrat"/>
    </font>
    <font>
      <sz val="10.0"/>
      <color rgb="FF000000"/>
      <name val="Montserrat"/>
    </font>
    <font>
      <i/>
      <u/>
      <sz val="10.0"/>
      <color rgb="FF000000"/>
      <name val="Montserrat"/>
    </font>
    <font>
      <b/>
      <sz val="10.0"/>
      <color rgb="FFFFFFFF"/>
      <name val="Montserrat"/>
    </font>
    <font>
      <sz val="10.0"/>
      <color rgb="FF303030"/>
      <name val="Montserrat"/>
    </font>
    <font>
      <b/>
      <sz val="10.0"/>
      <color rgb="FF000000"/>
      <name val="Montserrat"/>
    </font>
    <font>
      <color theme="1"/>
      <name val="Montserrat"/>
    </font>
    <font/>
    <font>
      <sz val="10.0"/>
      <color rgb="FF000000"/>
      <name val="Arial"/>
    </font>
    <font>
      <color theme="1"/>
      <name val="Arial"/>
    </font>
    <font>
      <b/>
      <color rgb="FFFFFFFF"/>
      <name val="Montserrat"/>
    </font>
    <font>
      <color rgb="FF303030"/>
      <name val="Montserrat"/>
    </font>
    <font>
      <b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7F7F7"/>
        <bgColor rgb="FFF7F7F7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/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2" fillId="2" fontId="2" numFmtId="0" xfId="0" applyAlignment="1" applyBorder="1" applyFont="1">
      <alignment vertical="bottom"/>
    </xf>
    <xf borderId="2" fillId="2" fontId="2" numFmtId="0" xfId="0" applyAlignment="1" applyBorder="1" applyFont="1">
      <alignment horizontal="right" vertical="bottom"/>
    </xf>
    <xf borderId="3" fillId="3" fontId="4" numFmtId="49" xfId="0" applyAlignment="1" applyBorder="1" applyFill="1" applyFont="1" applyNumberFormat="1">
      <alignment vertical="bottom"/>
    </xf>
    <xf borderId="4" fillId="3" fontId="4" numFmtId="49" xfId="0" applyAlignment="1" applyBorder="1" applyFont="1" applyNumberFormat="1">
      <alignment vertical="bottom"/>
    </xf>
    <xf borderId="4" fillId="3" fontId="4" numFmtId="49" xfId="0" applyAlignment="1" applyBorder="1" applyFont="1" applyNumberFormat="1">
      <alignment horizontal="right" vertical="bottom"/>
    </xf>
    <xf borderId="5" fillId="2" fontId="2" numFmtId="0" xfId="0" applyAlignment="1" applyBorder="1" applyFont="1">
      <alignment vertical="bottom"/>
    </xf>
    <xf borderId="6" fillId="2" fontId="2" numFmtId="49" xfId="0" applyAlignment="1" applyBorder="1" applyFont="1" applyNumberFormat="1">
      <alignment vertical="bottom"/>
    </xf>
    <xf borderId="7" fillId="2" fontId="2" numFmtId="164" xfId="0" applyAlignment="1" applyBorder="1" applyFont="1" applyNumberFormat="1">
      <alignment vertical="bottom"/>
    </xf>
    <xf borderId="4" fillId="2" fontId="2" numFmtId="164" xfId="0" applyAlignment="1" applyBorder="1" applyFont="1" applyNumberFormat="1">
      <alignment horizontal="right" vertical="bottom"/>
    </xf>
    <xf borderId="8" fillId="2" fontId="2" numFmtId="164" xfId="0" applyAlignment="1" applyBorder="1" applyFont="1" applyNumberFormat="1">
      <alignment vertical="bottom"/>
    </xf>
    <xf borderId="4" fillId="4" fontId="5" numFmtId="164" xfId="0" applyAlignment="1" applyBorder="1" applyFill="1" applyFont="1" applyNumberFormat="1">
      <alignment horizontal="right" vertical="bottom"/>
    </xf>
    <xf borderId="4" fillId="2" fontId="5" numFmtId="164" xfId="0" applyAlignment="1" applyBorder="1" applyFont="1" applyNumberFormat="1">
      <alignment horizontal="right" vertical="bottom"/>
    </xf>
    <xf borderId="4" fillId="5" fontId="6" numFmtId="164" xfId="0" applyAlignment="1" applyBorder="1" applyFill="1" applyFont="1" applyNumberFormat="1">
      <alignment vertical="bottom"/>
    </xf>
    <xf borderId="2" fillId="2" fontId="2" numFmtId="49" xfId="0" applyAlignment="1" applyBorder="1" applyFont="1" applyNumberFormat="1">
      <alignment vertical="bottom"/>
    </xf>
    <xf borderId="9" fillId="2" fontId="2" numFmtId="164" xfId="0" applyAlignment="1" applyBorder="1" applyFont="1" applyNumberFormat="1">
      <alignment vertical="bottom"/>
    </xf>
    <xf borderId="10" fillId="2" fontId="2" numFmtId="164" xfId="0" applyAlignment="1" applyBorder="1" applyFont="1" applyNumberFormat="1">
      <alignment vertical="bottom"/>
    </xf>
    <xf borderId="4" fillId="2" fontId="2" numFmtId="164" xfId="0" applyAlignment="1" applyBorder="1" applyFont="1" applyNumberFormat="1">
      <alignment vertical="bottom"/>
    </xf>
    <xf borderId="4" fillId="2" fontId="5" numFmtId="164" xfId="0" applyAlignment="1" applyBorder="1" applyFont="1" applyNumberFormat="1">
      <alignment vertical="bottom"/>
    </xf>
    <xf borderId="3" fillId="5" fontId="6" numFmtId="49" xfId="0" applyAlignment="1" applyBorder="1" applyFont="1" applyNumberFormat="1">
      <alignment vertical="bottom"/>
    </xf>
    <xf borderId="4" fillId="5" fontId="2" numFmtId="164" xfId="0" applyAlignment="1" applyBorder="1" applyFont="1" applyNumberFormat="1">
      <alignment vertical="bottom"/>
    </xf>
    <xf borderId="6" fillId="2" fontId="2" numFmtId="0" xfId="0" applyAlignment="1" applyBorder="1" applyFont="1">
      <alignment vertical="bottom"/>
    </xf>
    <xf borderId="3" fillId="2" fontId="2" numFmtId="49" xfId="0" applyAlignment="1" applyBorder="1" applyFont="1" applyNumberFormat="1">
      <alignment vertical="bottom"/>
    </xf>
    <xf borderId="11" fillId="2" fontId="2" numFmtId="164" xfId="0" applyAlignment="1" applyBorder="1" applyFont="1" applyNumberFormat="1">
      <alignment vertical="bottom"/>
    </xf>
    <xf borderId="6" fillId="2" fontId="2" numFmtId="164" xfId="0" applyAlignment="1" applyBorder="1" applyFont="1" applyNumberFormat="1">
      <alignment horizontal="right" vertical="bottom"/>
    </xf>
    <xf borderId="4" fillId="5" fontId="6" numFmtId="164" xfId="0" applyAlignment="1" applyBorder="1" applyFont="1" applyNumberFormat="1">
      <alignment horizontal="right" vertical="bottom"/>
    </xf>
    <xf borderId="5" fillId="2" fontId="2" numFmtId="164" xfId="0" applyAlignment="1" applyBorder="1" applyFont="1" applyNumberFormat="1">
      <alignment horizontal="right" vertical="bottom"/>
    </xf>
    <xf borderId="12" fillId="2" fontId="2" numFmtId="164" xfId="0" applyAlignment="1" applyBorder="1" applyFont="1" applyNumberFormat="1">
      <alignment horizontal="right" vertical="bottom"/>
    </xf>
    <xf borderId="7" fillId="2" fontId="2" numFmtId="164" xfId="0" applyAlignment="1" applyBorder="1" applyFont="1" applyNumberFormat="1">
      <alignment horizontal="right" vertical="bottom"/>
    </xf>
    <xf borderId="4" fillId="5" fontId="2" numFmtId="164" xfId="0" applyAlignment="1" applyBorder="1" applyFont="1" applyNumberFormat="1">
      <alignment horizontal="right" vertical="bottom"/>
    </xf>
    <xf borderId="1" fillId="2" fontId="2" numFmtId="49" xfId="0" applyAlignment="1" applyBorder="1" applyFont="1" applyNumberFormat="1">
      <alignment vertical="bottom"/>
    </xf>
    <xf borderId="1" fillId="2" fontId="2" numFmtId="164" xfId="0" applyAlignment="1" applyBorder="1" applyFont="1" applyNumberFormat="1">
      <alignment horizontal="right" vertical="bottom"/>
    </xf>
    <xf borderId="5" fillId="2" fontId="2" numFmtId="164" xfId="0" applyAlignment="1" applyBorder="1" applyFont="1" applyNumberFormat="1">
      <alignment vertical="bottom"/>
    </xf>
    <xf borderId="13" fillId="2" fontId="2" numFmtId="164" xfId="0" applyAlignment="1" applyBorder="1" applyFont="1" applyNumberFormat="1">
      <alignment vertical="bottom"/>
    </xf>
    <xf borderId="14" fillId="2" fontId="2" numFmtId="164" xfId="0" applyAlignment="1" applyBorder="1" applyFont="1" applyNumberFormat="1">
      <alignment horizontal="right" vertical="bottom"/>
    </xf>
    <xf borderId="13" fillId="2" fontId="2" numFmtId="164" xfId="0" applyAlignment="1" applyBorder="1" applyFont="1" applyNumberFormat="1">
      <alignment horizontal="right" vertical="bottom"/>
    </xf>
    <xf borderId="5" fillId="2" fontId="2" numFmtId="165" xfId="0" applyAlignment="1" applyBorder="1" applyFont="1" applyNumberFormat="1">
      <alignment vertical="bottom"/>
    </xf>
    <xf borderId="13" fillId="2" fontId="2" numFmtId="165" xfId="0" applyAlignment="1" applyBorder="1" applyFont="1" applyNumberFormat="1">
      <alignment vertical="bottom"/>
    </xf>
    <xf borderId="15" fillId="2" fontId="2" numFmtId="164" xfId="0" applyAlignment="1" applyBorder="1" applyFont="1" applyNumberFormat="1">
      <alignment horizontal="right" vertical="bottom"/>
    </xf>
    <xf borderId="16" fillId="2" fontId="2" numFmtId="164" xfId="0" applyAlignment="1" applyBorder="1" applyFont="1" applyNumberFormat="1">
      <alignment horizontal="right" vertical="bottom"/>
    </xf>
    <xf borderId="17" fillId="2" fontId="2" numFmtId="164" xfId="0" applyAlignment="1" applyBorder="1" applyFont="1" applyNumberFormat="1">
      <alignment horizontal="right" vertical="bottom"/>
    </xf>
    <xf borderId="18" fillId="2" fontId="2" numFmtId="164" xfId="0" applyAlignment="1" applyBorder="1" applyFont="1" applyNumberFormat="1">
      <alignment horizontal="right" vertical="bottom"/>
    </xf>
    <xf borderId="2" fillId="2" fontId="2" numFmtId="164" xfId="0" applyAlignment="1" applyBorder="1" applyFont="1" applyNumberFormat="1">
      <alignment horizontal="right" vertical="bottom"/>
    </xf>
    <xf borderId="19" fillId="2" fontId="2" numFmtId="164" xfId="0" applyAlignment="1" applyBorder="1" applyFont="1" applyNumberFormat="1">
      <alignment vertical="bottom"/>
    </xf>
    <xf borderId="1" fillId="2" fontId="7" numFmtId="164" xfId="0" applyAlignment="1" applyBorder="1" applyFont="1" applyNumberFormat="1">
      <alignment horizontal="right" vertical="bottom"/>
    </xf>
    <xf borderId="15" fillId="2" fontId="7" numFmtId="164" xfId="0" applyAlignment="1" applyBorder="1" applyFont="1" applyNumberFormat="1">
      <alignment horizontal="right" vertical="bottom"/>
    </xf>
    <xf borderId="18" fillId="2" fontId="7" numFmtId="164" xfId="0" applyAlignment="1" applyBorder="1" applyFont="1" applyNumberFormat="1">
      <alignment horizontal="right" vertical="bottom"/>
    </xf>
    <xf borderId="17" fillId="2" fontId="7" numFmtId="164" xfId="0" applyAlignment="1" applyBorder="1" applyFont="1" applyNumberFormat="1">
      <alignment horizontal="right" vertical="bottom"/>
    </xf>
    <xf borderId="20" fillId="5" fontId="6" numFmtId="164" xfId="0" applyAlignment="1" applyBorder="1" applyFont="1" applyNumberFormat="1">
      <alignment horizontal="right" vertical="bottom"/>
    </xf>
    <xf borderId="1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6" fillId="2" fontId="6" numFmtId="0" xfId="0" applyAlignment="1" applyBorder="1" applyFont="1">
      <alignment vertical="bottom"/>
    </xf>
    <xf borderId="6" fillId="2" fontId="2" numFmtId="10" xfId="0" applyAlignment="1" applyBorder="1" applyFont="1" applyNumberFormat="1">
      <alignment vertical="bottom"/>
    </xf>
    <xf borderId="14" fillId="0" fontId="7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21" fillId="2" fontId="2" numFmtId="0" xfId="0" applyAlignment="1" applyBorder="1" applyFont="1">
      <alignment vertical="bottom"/>
    </xf>
    <xf borderId="21" fillId="0" fontId="2" numFmtId="2" xfId="0" applyAlignment="1" applyBorder="1" applyFont="1" applyNumberFormat="1">
      <alignment vertical="bottom"/>
    </xf>
    <xf borderId="1" fillId="0" fontId="7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2" fillId="3" fontId="4" numFmtId="49" xfId="0" applyAlignment="1" applyBorder="1" applyFont="1" applyNumberFormat="1">
      <alignment vertical="bottom"/>
    </xf>
    <xf borderId="23" fillId="0" fontId="8" numFmtId="0" xfId="0" applyBorder="1" applyFont="1"/>
    <xf borderId="1" fillId="2" fontId="2" numFmtId="164" xfId="0" applyAlignment="1" applyBorder="1" applyFont="1" applyNumberFormat="1">
      <alignment vertical="bottom"/>
    </xf>
    <xf borderId="5" fillId="2" fontId="2" numFmtId="2" xfId="0" applyAlignment="1" applyBorder="1" applyFont="1" applyNumberFormat="1">
      <alignment horizontal="right" vertical="bottom"/>
    </xf>
    <xf borderId="4" fillId="2" fontId="2" numFmtId="4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1" fillId="2" fontId="10" numFmtId="0" xfId="0" applyAlignment="1" applyBorder="1" applyFont="1">
      <alignment vertical="bottom"/>
    </xf>
    <xf borderId="2" fillId="2" fontId="10" numFmtId="0" xfId="0" applyAlignment="1" applyBorder="1" applyFont="1">
      <alignment vertical="bottom"/>
    </xf>
    <xf borderId="2" fillId="2" fontId="7" numFmtId="0" xfId="0" applyAlignment="1" applyBorder="1" applyFont="1">
      <alignment horizontal="right" vertical="bottom"/>
    </xf>
    <xf borderId="0" fillId="0" fontId="10" numFmtId="0" xfId="0" applyAlignment="1" applyFont="1">
      <alignment vertical="bottom"/>
    </xf>
    <xf borderId="3" fillId="3" fontId="11" numFmtId="49" xfId="0" applyAlignment="1" applyBorder="1" applyFont="1" applyNumberFormat="1">
      <alignment vertical="bottom"/>
    </xf>
    <xf borderId="4" fillId="3" fontId="11" numFmtId="49" xfId="0" applyAlignment="1" applyBorder="1" applyFont="1" applyNumberFormat="1">
      <alignment vertical="bottom"/>
    </xf>
    <xf borderId="4" fillId="5" fontId="10" numFmtId="49" xfId="0" applyAlignment="1" applyBorder="1" applyFont="1" applyNumberFormat="1">
      <alignment vertical="bottom"/>
    </xf>
    <xf borderId="5" fillId="2" fontId="10" numFmtId="0" xfId="0" applyAlignment="1" applyBorder="1" applyFont="1">
      <alignment vertical="bottom"/>
    </xf>
    <xf borderId="6" fillId="2" fontId="7" numFmtId="49" xfId="0" applyAlignment="1" applyBorder="1" applyFont="1" applyNumberFormat="1">
      <alignment vertical="bottom"/>
    </xf>
    <xf borderId="4" fillId="4" fontId="12" numFmtId="164" xfId="0" applyAlignment="1" applyBorder="1" applyFont="1" applyNumberFormat="1">
      <alignment horizontal="right" vertical="bottom"/>
    </xf>
    <xf borderId="4" fillId="4" fontId="10" numFmtId="164" xfId="0" applyAlignment="1" applyBorder="1" applyFont="1" applyNumberFormat="1">
      <alignment vertical="bottom"/>
    </xf>
    <xf borderId="4" fillId="5" fontId="10" numFmtId="164" xfId="0" applyAlignment="1" applyBorder="1" applyFont="1" applyNumberFormat="1">
      <alignment vertical="bottom"/>
    </xf>
    <xf borderId="2" fillId="2" fontId="7" numFmtId="49" xfId="0" applyAlignment="1" applyBorder="1" applyFont="1" applyNumberFormat="1">
      <alignment vertical="bottom"/>
    </xf>
    <xf borderId="9" fillId="2" fontId="7" numFmtId="164" xfId="0" applyAlignment="1" applyBorder="1" applyFont="1" applyNumberFormat="1">
      <alignment horizontal="right" vertical="bottom"/>
    </xf>
    <xf borderId="9" fillId="2" fontId="10" numFmtId="164" xfId="0" applyAlignment="1" applyBorder="1" applyFont="1" applyNumberFormat="1">
      <alignment vertical="bottom"/>
    </xf>
    <xf borderId="3" fillId="5" fontId="13" numFmtId="49" xfId="0" applyAlignment="1" applyBorder="1" applyFont="1" applyNumberFormat="1">
      <alignment vertical="bottom"/>
    </xf>
    <xf borderId="4" fillId="5" fontId="7" numFmtId="16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6" fillId="5" fontId="10" numFmtId="0" xfId="0" applyAlignment="1" applyBorder="1" applyFont="1">
      <alignment vertical="bottom"/>
    </xf>
    <xf borderId="2" fillId="5" fontId="10" numFmtId="0" xfId="0" applyAlignment="1" applyBorder="1" applyFont="1">
      <alignment vertical="bottom"/>
    </xf>
    <xf borderId="3" fillId="2" fontId="7" numFmtId="49" xfId="0" applyAlignment="1" applyBorder="1" applyFont="1" applyNumberFormat="1">
      <alignment vertical="bottom"/>
    </xf>
    <xf borderId="4" fillId="2" fontId="7" numFmtId="164" xfId="0" applyAlignment="1" applyBorder="1" applyFont="1" applyNumberFormat="1">
      <alignment horizontal="right" vertical="bottom"/>
    </xf>
    <xf borderId="4" fillId="2" fontId="10" numFmtId="164" xfId="0" applyAlignment="1" applyBorder="1" applyFont="1" applyNumberFormat="1">
      <alignment vertical="bottom"/>
    </xf>
    <xf borderId="1" fillId="5" fontId="10" numFmtId="0" xfId="0" applyAlignment="1" applyBorder="1" applyFont="1">
      <alignment vertical="bottom"/>
    </xf>
    <xf borderId="4" fillId="5" fontId="13" numFmtId="164" xfId="0" applyAlignment="1" applyBorder="1" applyFont="1" applyNumberFormat="1">
      <alignment horizontal="right" vertical="bottom"/>
    </xf>
    <xf borderId="6" fillId="2" fontId="10" numFmtId="166" xfId="0" applyAlignment="1" applyBorder="1" applyFont="1" applyNumberFormat="1">
      <alignment vertical="bottom"/>
    </xf>
    <xf borderId="12" fillId="2" fontId="10" numFmtId="166" xfId="0" applyAlignment="1" applyBorder="1" applyFont="1" applyNumberFormat="1">
      <alignment vertical="bottom"/>
    </xf>
    <xf borderId="7" fillId="2" fontId="10" numFmtId="166" xfId="0" applyAlignment="1" applyBorder="1" applyFont="1" applyNumberFormat="1">
      <alignment vertical="bottom"/>
    </xf>
    <xf borderId="7" fillId="5" fontId="10" numFmtId="164" xfId="0" applyAlignment="1" applyBorder="1" applyFont="1" applyNumberFormat="1">
      <alignment vertical="bottom"/>
    </xf>
    <xf borderId="1" fillId="2" fontId="7" numFmtId="49" xfId="0" applyAlignment="1" applyBorder="1" applyFont="1" applyNumberFormat="1">
      <alignment vertical="bottom"/>
    </xf>
    <xf borderId="1" fillId="2" fontId="10" numFmtId="166" xfId="0" applyAlignment="1" applyBorder="1" applyFont="1" applyNumberFormat="1">
      <alignment horizontal="right" vertical="bottom"/>
    </xf>
    <xf borderId="1" fillId="2" fontId="7" numFmtId="166" xfId="0" applyAlignment="1" applyBorder="1" applyFont="1" applyNumberFormat="1">
      <alignment horizontal="right" vertical="bottom"/>
    </xf>
    <xf borderId="1" fillId="2" fontId="10" numFmtId="166" xfId="0" applyAlignment="1" applyBorder="1" applyFont="1" applyNumberFormat="1">
      <alignment vertical="bottom"/>
    </xf>
    <xf borderId="13" fillId="2" fontId="10" numFmtId="166" xfId="0" applyAlignment="1" applyBorder="1" applyFont="1" applyNumberFormat="1">
      <alignment vertical="bottom"/>
    </xf>
    <xf borderId="4" fillId="2" fontId="10" numFmtId="166" xfId="0" applyAlignment="1" applyBorder="1" applyFont="1" applyNumberFormat="1">
      <alignment vertical="bottom"/>
    </xf>
    <xf borderId="5" fillId="2" fontId="10" numFmtId="166" xfId="0" applyAlignment="1" applyBorder="1" applyFont="1" applyNumberFormat="1">
      <alignment vertical="bottom"/>
    </xf>
    <xf borderId="13" fillId="5" fontId="10" numFmtId="164" xfId="0" applyAlignment="1" applyBorder="1" applyFont="1" applyNumberFormat="1">
      <alignment vertical="bottom"/>
    </xf>
    <xf borderId="13" fillId="5" fontId="10" numFmtId="165" xfId="0" applyAlignment="1" applyBorder="1" applyFont="1" applyNumberFormat="1">
      <alignment vertical="bottom"/>
    </xf>
    <xf borderId="2" fillId="2" fontId="10" numFmtId="166" xfId="0" applyAlignment="1" applyBorder="1" applyFont="1" applyNumberFormat="1">
      <alignment vertical="bottom"/>
    </xf>
    <xf borderId="9" fillId="5" fontId="10" numFmtId="164" xfId="0" applyAlignment="1" applyBorder="1" applyFont="1" applyNumberFormat="1">
      <alignment vertical="bottom"/>
    </xf>
    <xf borderId="0" fillId="0" fontId="10" numFmtId="0" xfId="0" applyFont="1"/>
    <xf borderId="19" fillId="2" fontId="10" numFmtId="166" xfId="0" applyAlignment="1" applyBorder="1" applyFont="1" applyNumberFormat="1">
      <alignment vertical="bottom"/>
    </xf>
    <xf borderId="9" fillId="2" fontId="10" numFmtId="166" xfId="0" applyAlignment="1" applyBorder="1" applyFont="1" applyNumberFormat="1">
      <alignment vertical="bottom"/>
    </xf>
    <xf borderId="24" fillId="2" fontId="10" numFmtId="166" xfId="0" applyAlignment="1" applyBorder="1" applyFont="1" applyNumberFormat="1">
      <alignment vertical="bottom"/>
    </xf>
    <xf borderId="12" fillId="2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4" fillId="2" fontId="10" numFmtId="0" xfId="0" applyAlignment="1" applyBorder="1" applyFont="1">
      <alignment vertical="bottom"/>
    </xf>
    <xf borderId="11" fillId="2" fontId="10" numFmtId="0" xfId="0" applyAlignment="1" applyBorder="1" applyFont="1">
      <alignment vertical="bottom"/>
    </xf>
    <xf borderId="12" fillId="5" fontId="10" numFmtId="0" xfId="0" applyAlignment="1" applyBorder="1" applyFont="1">
      <alignment vertical="bottom"/>
    </xf>
    <xf borderId="6" fillId="2" fontId="10" numFmtId="10" xfId="0" applyAlignment="1" applyBorder="1" applyFont="1" applyNumberFormat="1">
      <alignment vertical="bottom"/>
    </xf>
    <xf borderId="14" fillId="0" fontId="10" numFmtId="0" xfId="0" applyAlignment="1" applyBorder="1" applyFont="1">
      <alignment vertical="bottom"/>
    </xf>
    <xf borderId="21" fillId="0" fontId="10" numFmtId="0" xfId="0" applyAlignment="1" applyBorder="1" applyFont="1">
      <alignment vertical="bottom"/>
    </xf>
    <xf borderId="1" fillId="0" fontId="10" numFmtId="10" xfId="0" applyAlignment="1" applyBorder="1" applyFont="1" applyNumberFormat="1">
      <alignment vertical="bottom"/>
    </xf>
    <xf borderId="21" fillId="2" fontId="10" numFmtId="0" xfId="0" applyAlignment="1" applyBorder="1" applyFont="1">
      <alignment vertical="bottom"/>
    </xf>
    <xf borderId="21" fillId="0" fontId="10" numFmtId="2" xfId="0" applyAlignment="1" applyBorder="1" applyFont="1" applyNumberFormat="1">
      <alignment vertical="bottom"/>
    </xf>
    <xf borderId="1" fillId="0" fontId="10" numFmtId="0" xfId="0" applyAlignment="1" applyBorder="1" applyFont="1">
      <alignment vertical="bottom"/>
    </xf>
    <xf borderId="22" fillId="3" fontId="11" numFmtId="49" xfId="0" applyAlignment="1" applyBorder="1" applyFont="1" applyNumberFormat="1">
      <alignment vertical="bottom"/>
    </xf>
    <xf borderId="6" fillId="2" fontId="10" numFmtId="49" xfId="0" applyAlignment="1" applyBorder="1" applyFont="1" applyNumberFormat="1">
      <alignment vertical="bottom"/>
    </xf>
    <xf borderId="1" fillId="2" fontId="10" numFmtId="164" xfId="0" applyAlignment="1" applyBorder="1" applyFont="1" applyNumberFormat="1">
      <alignment vertical="bottom"/>
    </xf>
    <xf borderId="1" fillId="2" fontId="10" numFmtId="49" xfId="0" applyAlignment="1" applyBorder="1" applyFont="1" applyNumberFormat="1">
      <alignment vertical="bottom"/>
    </xf>
    <xf borderId="5" fillId="2" fontId="10" numFmtId="164" xfId="0" applyAlignment="1" applyBorder="1" applyFont="1" applyNumberFormat="1">
      <alignment vertical="bottom"/>
    </xf>
    <xf borderId="5" fillId="2" fontId="10" numFmtId="2" xfId="0" applyAlignment="1" applyBorder="1" applyFont="1" applyNumberFormat="1">
      <alignment vertical="bottom"/>
    </xf>
    <xf borderId="4" fillId="2" fontId="10" numFmtId="4" xfId="0" applyAlignment="1" applyBorder="1" applyFont="1" applyNumberFormat="1">
      <alignment vertical="bottom"/>
    </xf>
    <xf borderId="0" fillId="2" fontId="10" numFmtId="0" xfId="0" applyAlignment="1" applyFont="1">
      <alignment vertical="bottom"/>
    </xf>
    <xf borderId="6" fillId="2" fontId="10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8.63"/>
    <col customWidth="1" min="2" max="11" width="14.5"/>
    <col customWidth="1" min="12" max="12" width="17.38"/>
    <col customWidth="1" min="13" max="14" width="14.5"/>
    <col customWidth="1" min="15" max="15" width="24.38"/>
    <col customWidth="1" min="16" max="27" width="14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5"/>
      <c r="B3" s="6">
        <v>2024.0</v>
      </c>
      <c r="C3" s="6">
        <v>2024.0</v>
      </c>
      <c r="D3" s="6">
        <v>2024.0</v>
      </c>
      <c r="E3" s="6">
        <v>2024.0</v>
      </c>
      <c r="F3" s="6">
        <v>2024.0</v>
      </c>
      <c r="G3" s="6">
        <v>2024.0</v>
      </c>
      <c r="H3" s="6">
        <v>2024.0</v>
      </c>
      <c r="I3" s="6">
        <v>2024.0</v>
      </c>
      <c r="J3" s="6">
        <v>2024.0</v>
      </c>
      <c r="K3" s="6">
        <v>2024.0</v>
      </c>
      <c r="L3" s="6">
        <v>2024.0</v>
      </c>
      <c r="M3" s="6">
        <v>2024.0</v>
      </c>
      <c r="N3" s="6">
        <v>2025.0</v>
      </c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9" t="s">
        <v>15</v>
      </c>
      <c r="P4" s="10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11" t="s">
        <v>16</v>
      </c>
      <c r="B5" s="12"/>
      <c r="C5" s="13">
        <v>0.0</v>
      </c>
      <c r="D5" s="14">
        <v>8775.81</v>
      </c>
      <c r="E5" s="13">
        <v>18458.45</v>
      </c>
      <c r="F5" s="13">
        <v>25052.5</v>
      </c>
      <c r="G5" s="15">
        <v>18893.26</v>
      </c>
      <c r="H5" s="15">
        <v>25681.08</v>
      </c>
      <c r="I5" s="16">
        <v>29544.05</v>
      </c>
      <c r="J5" s="13">
        <v>39144.04</v>
      </c>
      <c r="K5" s="15">
        <v>44923.69</v>
      </c>
      <c r="L5" s="15">
        <v>33664.98</v>
      </c>
      <c r="M5" s="15">
        <v>37779.39</v>
      </c>
      <c r="N5" s="15">
        <v>66464.96</v>
      </c>
      <c r="O5" s="17">
        <f t="shared" ref="O5:O6" si="1">SUM(B5:N5)</f>
        <v>348382.21</v>
      </c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8" t="s">
        <v>17</v>
      </c>
      <c r="B6" s="19"/>
      <c r="C6" s="13">
        <v>0.0</v>
      </c>
      <c r="D6" s="20">
        <v>0.0</v>
      </c>
      <c r="E6" s="13">
        <v>170.53</v>
      </c>
      <c r="F6" s="21">
        <v>8.26</v>
      </c>
      <c r="G6" s="13">
        <v>180.26</v>
      </c>
      <c r="H6" s="15">
        <v>611.01</v>
      </c>
      <c r="I6" s="15">
        <v>393.71</v>
      </c>
      <c r="J6" s="22">
        <v>210.76</v>
      </c>
      <c r="K6" s="13">
        <v>156.7</v>
      </c>
      <c r="L6" s="15">
        <v>414.96</v>
      </c>
      <c r="M6" s="15">
        <v>180.2</v>
      </c>
      <c r="N6" s="15">
        <v>333.11</v>
      </c>
      <c r="O6" s="17">
        <f t="shared" si="1"/>
        <v>2659.5</v>
      </c>
      <c r="P6" s="10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3" t="s">
        <v>18</v>
      </c>
      <c r="B7" s="24">
        <f t="shared" ref="B7:N7" si="2">B5-B6</f>
        <v>0</v>
      </c>
      <c r="C7" s="24">
        <f t="shared" si="2"/>
        <v>0</v>
      </c>
      <c r="D7" s="24">
        <f t="shared" si="2"/>
        <v>8775.81</v>
      </c>
      <c r="E7" s="24">
        <f t="shared" si="2"/>
        <v>18287.92</v>
      </c>
      <c r="F7" s="24">
        <f t="shared" si="2"/>
        <v>25044.24</v>
      </c>
      <c r="G7" s="24">
        <f t="shared" si="2"/>
        <v>18713</v>
      </c>
      <c r="H7" s="24">
        <f t="shared" si="2"/>
        <v>25070.07</v>
      </c>
      <c r="I7" s="24">
        <f t="shared" si="2"/>
        <v>29150.34</v>
      </c>
      <c r="J7" s="24">
        <f t="shared" si="2"/>
        <v>38933.28</v>
      </c>
      <c r="K7" s="24">
        <f t="shared" si="2"/>
        <v>44766.99</v>
      </c>
      <c r="L7" s="24">
        <f t="shared" si="2"/>
        <v>33250.02</v>
      </c>
      <c r="M7" s="24">
        <f t="shared" si="2"/>
        <v>37599.19</v>
      </c>
      <c r="N7" s="24">
        <f t="shared" si="2"/>
        <v>66131.85</v>
      </c>
      <c r="O7" s="17">
        <f>SUM(B7:M7)</f>
        <v>279590.86</v>
      </c>
      <c r="P7" s="10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5"/>
      <c r="B9" s="6">
        <v>2024.0</v>
      </c>
      <c r="C9" s="6">
        <v>2024.0</v>
      </c>
      <c r="D9" s="6">
        <v>2024.0</v>
      </c>
      <c r="E9" s="6">
        <v>2024.0</v>
      </c>
      <c r="F9" s="6">
        <v>2024.0</v>
      </c>
      <c r="G9" s="6">
        <v>2024.0</v>
      </c>
      <c r="H9" s="6">
        <v>2024.0</v>
      </c>
      <c r="I9" s="6">
        <v>2024.0</v>
      </c>
      <c r="J9" s="6">
        <v>2024.0</v>
      </c>
      <c r="K9" s="6">
        <v>2024.0</v>
      </c>
      <c r="L9" s="6">
        <v>2024.0</v>
      </c>
      <c r="M9" s="6">
        <v>2024.0</v>
      </c>
      <c r="N9" s="6">
        <v>2025.0</v>
      </c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7" t="s">
        <v>19</v>
      </c>
      <c r="B10" s="8" t="s">
        <v>2</v>
      </c>
      <c r="C10" s="8" t="s">
        <v>3</v>
      </c>
      <c r="D10" s="8" t="s">
        <v>4</v>
      </c>
      <c r="E10" s="8" t="s">
        <v>5</v>
      </c>
      <c r="F10" s="8" t="s">
        <v>6</v>
      </c>
      <c r="G10" s="8" t="s">
        <v>7</v>
      </c>
      <c r="H10" s="8" t="s">
        <v>8</v>
      </c>
      <c r="I10" s="8" t="s">
        <v>9</v>
      </c>
      <c r="J10" s="8" t="s">
        <v>10</v>
      </c>
      <c r="K10" s="8" t="s">
        <v>11</v>
      </c>
      <c r="L10" s="8" t="s">
        <v>12</v>
      </c>
      <c r="M10" s="8" t="s">
        <v>13</v>
      </c>
      <c r="N10" s="8" t="s">
        <v>14</v>
      </c>
      <c r="O10" s="9" t="s">
        <v>15</v>
      </c>
      <c r="P10" s="10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6" t="s">
        <v>20</v>
      </c>
      <c r="B11" s="13"/>
      <c r="C11" s="13">
        <v>0.0</v>
      </c>
      <c r="D11" s="13">
        <v>1755.16</v>
      </c>
      <c r="E11" s="13">
        <v>3802.44</v>
      </c>
      <c r="F11" s="13">
        <v>5110.71</v>
      </c>
      <c r="G11" s="13">
        <v>3892.01</v>
      </c>
      <c r="H11" s="13">
        <v>5264.62</v>
      </c>
      <c r="I11" s="13">
        <v>5908.81</v>
      </c>
      <c r="J11" s="13">
        <v>8024.52</v>
      </c>
      <c r="K11" s="13">
        <v>8984.73</v>
      </c>
      <c r="L11" s="27">
        <v>5723.04</v>
      </c>
      <c r="M11" s="27">
        <v>6422.49</v>
      </c>
      <c r="N11" s="27">
        <v>11299.04</v>
      </c>
      <c r="O11" s="28">
        <f>SUM(B11:N11)</f>
        <v>66187.57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3" t="s">
        <v>21</v>
      </c>
      <c r="B12" s="29" t="str">
        <f t="shared" ref="B12:C12" si="3">B11</f>
        <v/>
      </c>
      <c r="C12" s="29">
        <f t="shared" si="3"/>
        <v>0</v>
      </c>
      <c r="D12" s="29">
        <f t="shared" ref="D12:N12" si="4">D5-D11</f>
        <v>7020.65</v>
      </c>
      <c r="E12" s="29">
        <f t="shared" si="4"/>
        <v>14656.01</v>
      </c>
      <c r="F12" s="29">
        <f t="shared" si="4"/>
        <v>19941.79</v>
      </c>
      <c r="G12" s="29">
        <f t="shared" si="4"/>
        <v>15001.25</v>
      </c>
      <c r="H12" s="29">
        <f t="shared" si="4"/>
        <v>20416.46</v>
      </c>
      <c r="I12" s="29">
        <f t="shared" si="4"/>
        <v>23635.24</v>
      </c>
      <c r="J12" s="29">
        <f t="shared" si="4"/>
        <v>31119.52</v>
      </c>
      <c r="K12" s="29">
        <f t="shared" si="4"/>
        <v>35938.96</v>
      </c>
      <c r="L12" s="29">
        <f t="shared" si="4"/>
        <v>27941.94</v>
      </c>
      <c r="M12" s="29">
        <f t="shared" si="4"/>
        <v>31356.9</v>
      </c>
      <c r="N12" s="29">
        <f t="shared" si="4"/>
        <v>55165.92</v>
      </c>
      <c r="O12" s="30">
        <f>SUM(B12:M12)</f>
        <v>227028.72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5"/>
      <c r="B14" s="6">
        <v>2024.0</v>
      </c>
      <c r="C14" s="6">
        <v>2024.0</v>
      </c>
      <c r="D14" s="6">
        <v>2024.0</v>
      </c>
      <c r="E14" s="6">
        <v>2024.0</v>
      </c>
      <c r="F14" s="6">
        <v>2024.0</v>
      </c>
      <c r="G14" s="6">
        <v>2024.0</v>
      </c>
      <c r="H14" s="6">
        <v>2024.0</v>
      </c>
      <c r="I14" s="6">
        <v>2024.0</v>
      </c>
      <c r="J14" s="6">
        <v>2024.0</v>
      </c>
      <c r="K14" s="6">
        <v>2024.0</v>
      </c>
      <c r="L14" s="6">
        <v>2024.0</v>
      </c>
      <c r="M14" s="6">
        <v>2024.0</v>
      </c>
      <c r="N14" s="6">
        <v>2025.0</v>
      </c>
      <c r="O14" s="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7" t="s">
        <v>22</v>
      </c>
      <c r="B15" s="8" t="s">
        <v>2</v>
      </c>
      <c r="C15" s="8" t="s">
        <v>3</v>
      </c>
      <c r="D15" s="8" t="s">
        <v>4</v>
      </c>
      <c r="E15" s="8" t="s">
        <v>5</v>
      </c>
      <c r="F15" s="8" t="s">
        <v>6</v>
      </c>
      <c r="G15" s="8" t="s">
        <v>7</v>
      </c>
      <c r="H15" s="8" t="s">
        <v>8</v>
      </c>
      <c r="I15" s="8" t="s">
        <v>9</v>
      </c>
      <c r="J15" s="8" t="s">
        <v>10</v>
      </c>
      <c r="K15" s="8" t="s">
        <v>11</v>
      </c>
      <c r="L15" s="8" t="s">
        <v>12</v>
      </c>
      <c r="M15" s="8" t="s">
        <v>13</v>
      </c>
      <c r="N15" s="8" t="s">
        <v>14</v>
      </c>
      <c r="O15" s="9" t="s">
        <v>15</v>
      </c>
      <c r="P15" s="1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1" t="s">
        <v>23</v>
      </c>
      <c r="B16" s="28"/>
      <c r="C16" s="28"/>
      <c r="D16" s="28"/>
      <c r="E16" s="28"/>
      <c r="F16" s="28"/>
      <c r="G16" s="28"/>
      <c r="H16" s="28"/>
      <c r="I16" s="28"/>
      <c r="J16" s="28"/>
      <c r="K16" s="31">
        <v>132.86</v>
      </c>
      <c r="L16" s="28">
        <v>498.47</v>
      </c>
      <c r="M16" s="32"/>
      <c r="N16" s="32"/>
      <c r="O16" s="33">
        <f>SUM(B16:M16)</f>
        <v>631.33</v>
      </c>
      <c r="P16" s="1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K17" s="13">
        <v>1886.28</v>
      </c>
      <c r="L17" s="36">
        <v>3019.01</v>
      </c>
      <c r="M17" s="37">
        <v>6548.64</v>
      </c>
      <c r="N17" s="37">
        <v>11330.6</v>
      </c>
      <c r="O17" s="33">
        <f t="shared" ref="O17:O18" si="5">SUM(B17:N17)</f>
        <v>22784.53</v>
      </c>
      <c r="P17" s="1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34" t="s">
        <v>25</v>
      </c>
      <c r="B18" s="35"/>
      <c r="C18" s="35"/>
      <c r="D18" s="35">
        <v>3703.36</v>
      </c>
      <c r="E18" s="35">
        <v>7409.53</v>
      </c>
      <c r="F18" s="35">
        <v>10609.71</v>
      </c>
      <c r="G18" s="35">
        <v>7006.24</v>
      </c>
      <c r="H18" s="38">
        <v>9151.99</v>
      </c>
      <c r="I18" s="35">
        <v>12725.45</v>
      </c>
      <c r="J18" s="39">
        <v>16113.3</v>
      </c>
      <c r="K18" s="13">
        <v>17516.17</v>
      </c>
      <c r="L18" s="40">
        <v>12317.18</v>
      </c>
      <c r="M18" s="41">
        <v>9598.71</v>
      </c>
      <c r="N18" s="41">
        <v>17868.05</v>
      </c>
      <c r="O18" s="33">
        <f t="shared" si="5"/>
        <v>124019.69</v>
      </c>
      <c r="P18" s="1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34" t="s">
        <v>26</v>
      </c>
      <c r="B19" s="35"/>
      <c r="C19" s="35"/>
      <c r="D19" s="35"/>
      <c r="E19" s="35"/>
      <c r="F19" s="35"/>
      <c r="G19" s="42"/>
      <c r="H19" s="43"/>
      <c r="I19" s="44"/>
      <c r="J19" s="35"/>
      <c r="K19" s="28"/>
      <c r="L19" s="35"/>
      <c r="M19" s="39"/>
      <c r="N19" s="39"/>
      <c r="O19" s="33">
        <f t="shared" ref="O19:O20" si="6">SUM(B19:M19)</f>
        <v>0</v>
      </c>
      <c r="P19" s="1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34" t="s">
        <v>27</v>
      </c>
      <c r="B20" s="35"/>
      <c r="C20" s="35"/>
      <c r="D20" s="35"/>
      <c r="E20" s="35"/>
      <c r="F20" s="35"/>
      <c r="G20" s="42"/>
      <c r="H20" s="45"/>
      <c r="I20" s="44"/>
      <c r="J20" s="35"/>
      <c r="K20" s="46"/>
      <c r="L20" s="35"/>
      <c r="M20" s="39"/>
      <c r="N20" s="39"/>
      <c r="O20" s="33">
        <f t="shared" si="6"/>
        <v>0</v>
      </c>
      <c r="P20" s="10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34" t="s">
        <v>28</v>
      </c>
      <c r="B21" s="35"/>
      <c r="C21" s="35"/>
      <c r="D21" s="35">
        <v>438.79</v>
      </c>
      <c r="E21" s="35">
        <v>922.92</v>
      </c>
      <c r="F21" s="35">
        <v>1252.62</v>
      </c>
      <c r="G21" s="35">
        <v>944.66</v>
      </c>
      <c r="H21" s="35">
        <v>1284.05</v>
      </c>
      <c r="I21" s="35">
        <v>1477.2</v>
      </c>
      <c r="J21" s="35">
        <v>1957.2</v>
      </c>
      <c r="K21" s="35">
        <v>2246.18</v>
      </c>
      <c r="L21" s="35">
        <v>1683.24</v>
      </c>
      <c r="M21" s="35">
        <v>1888.96</v>
      </c>
      <c r="N21" s="35">
        <v>3323.24</v>
      </c>
      <c r="O21" s="33">
        <f t="shared" ref="O21:O22" si="7">SUM(B21:N21)</f>
        <v>17419.06</v>
      </c>
      <c r="P21" s="10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34" t="s">
        <v>29</v>
      </c>
      <c r="B22" s="35"/>
      <c r="C22" s="35"/>
      <c r="D22" s="35">
        <v>177.7</v>
      </c>
      <c r="E22" s="35">
        <v>328.06</v>
      </c>
      <c r="F22" s="35">
        <v>198.24</v>
      </c>
      <c r="G22" s="42">
        <v>190.5</v>
      </c>
      <c r="H22" s="45">
        <v>194.81</v>
      </c>
      <c r="I22" s="44">
        <v>264.0</v>
      </c>
      <c r="J22" s="39">
        <v>254.17</v>
      </c>
      <c r="K22" s="13">
        <v>263.53</v>
      </c>
      <c r="L22" s="47">
        <v>269.92</v>
      </c>
      <c r="M22" s="22">
        <v>281.23</v>
      </c>
      <c r="N22" s="22">
        <v>262.5</v>
      </c>
      <c r="O22" s="33">
        <f t="shared" si="7"/>
        <v>2684.66</v>
      </c>
      <c r="P22" s="1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34" t="s">
        <v>30</v>
      </c>
      <c r="B23" s="35"/>
      <c r="C23" s="35"/>
      <c r="D23" s="35"/>
      <c r="E23" s="35"/>
      <c r="F23" s="35"/>
      <c r="G23" s="42"/>
      <c r="H23" s="45"/>
      <c r="I23" s="44"/>
      <c r="J23" s="39"/>
      <c r="K23" s="13"/>
      <c r="L23" s="36"/>
      <c r="M23" s="12"/>
      <c r="N23" s="12"/>
      <c r="O23" s="33">
        <f t="shared" ref="O23:O24" si="8">SUM(B23:M23)</f>
        <v>0</v>
      </c>
      <c r="P23" s="1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34" t="s">
        <v>31</v>
      </c>
      <c r="B24" s="35"/>
      <c r="C24" s="35"/>
      <c r="D24" s="35"/>
      <c r="E24" s="35"/>
      <c r="F24" s="35"/>
      <c r="G24" s="42"/>
      <c r="H24" s="45"/>
      <c r="I24" s="44"/>
      <c r="J24" s="39"/>
      <c r="K24" s="13"/>
      <c r="L24" s="36"/>
      <c r="M24" s="37"/>
      <c r="N24" s="37"/>
      <c r="O24" s="33">
        <f t="shared" si="8"/>
        <v>0</v>
      </c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34" t="s">
        <v>32</v>
      </c>
      <c r="B25" s="35"/>
      <c r="C25" s="35"/>
      <c r="D25" s="48">
        <v>100.0</v>
      </c>
      <c r="E25" s="48">
        <v>100.0</v>
      </c>
      <c r="F25" s="48">
        <v>100.0</v>
      </c>
      <c r="G25" s="49">
        <v>100.0</v>
      </c>
      <c r="H25" s="50">
        <v>100.0</v>
      </c>
      <c r="I25" s="51">
        <v>100.0</v>
      </c>
      <c r="J25" s="51">
        <v>100.0</v>
      </c>
      <c r="K25" s="51">
        <v>100.0</v>
      </c>
      <c r="L25" s="36">
        <v>100.0</v>
      </c>
      <c r="M25" s="37">
        <v>100.0</v>
      </c>
      <c r="N25" s="37">
        <v>100.0</v>
      </c>
      <c r="O25" s="33">
        <f>SUM(B25:N25)</f>
        <v>1100</v>
      </c>
      <c r="P25" s="10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34" t="s">
        <v>33</v>
      </c>
      <c r="B26" s="35"/>
      <c r="C26" s="35"/>
      <c r="D26" s="35"/>
      <c r="E26" s="35"/>
      <c r="F26" s="35"/>
      <c r="G26" s="42"/>
      <c r="H26" s="45"/>
      <c r="I26" s="44"/>
      <c r="J26" s="35"/>
      <c r="K26" s="31"/>
      <c r="L26" s="35"/>
      <c r="M26" s="39"/>
      <c r="N26" s="39"/>
      <c r="O26" s="33">
        <f t="shared" ref="O26:O28" si="9">SUM(B26:M26)</f>
        <v>0</v>
      </c>
      <c r="P26" s="1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8" t="s">
        <v>34</v>
      </c>
      <c r="B27" s="46"/>
      <c r="C27" s="46"/>
      <c r="D27" s="46">
        <v>0.0</v>
      </c>
      <c r="E27" s="46">
        <v>0.0</v>
      </c>
      <c r="F27" s="46">
        <v>250.52</v>
      </c>
      <c r="G27" s="46">
        <v>188.93</v>
      </c>
      <c r="H27" s="46">
        <v>256.81</v>
      </c>
      <c r="I27" s="46">
        <v>195.44</v>
      </c>
      <c r="J27" s="46">
        <v>291.44</v>
      </c>
      <c r="K27" s="46">
        <v>249.23</v>
      </c>
      <c r="L27" s="46">
        <v>336.64</v>
      </c>
      <c r="M27" s="46">
        <v>377.79</v>
      </c>
      <c r="N27" s="46">
        <v>364.64</v>
      </c>
      <c r="O27" s="33">
        <f t="shared" si="9"/>
        <v>2146.8</v>
      </c>
      <c r="P27" s="10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3" t="s">
        <v>35</v>
      </c>
      <c r="B28" s="29">
        <f t="shared" ref="B28:N28" si="10">SUM(B16:B27)</f>
        <v>0</v>
      </c>
      <c r="C28" s="29">
        <f t="shared" si="10"/>
        <v>0</v>
      </c>
      <c r="D28" s="29">
        <f t="shared" si="10"/>
        <v>4419.85</v>
      </c>
      <c r="E28" s="29">
        <f t="shared" si="10"/>
        <v>8760.51</v>
      </c>
      <c r="F28" s="29">
        <f t="shared" si="10"/>
        <v>12411.09</v>
      </c>
      <c r="G28" s="29">
        <f t="shared" si="10"/>
        <v>8430.33</v>
      </c>
      <c r="H28" s="52">
        <f t="shared" si="10"/>
        <v>10987.66</v>
      </c>
      <c r="I28" s="52">
        <f t="shared" si="10"/>
        <v>14762.09</v>
      </c>
      <c r="J28" s="52">
        <f t="shared" si="10"/>
        <v>18716.11</v>
      </c>
      <c r="K28" s="52">
        <f t="shared" si="10"/>
        <v>22394.25</v>
      </c>
      <c r="L28" s="52">
        <f t="shared" si="10"/>
        <v>18224.46</v>
      </c>
      <c r="M28" s="52">
        <f t="shared" si="10"/>
        <v>18795.33</v>
      </c>
      <c r="N28" s="52">
        <f t="shared" si="10"/>
        <v>33249.03</v>
      </c>
      <c r="O28" s="29">
        <f t="shared" si="9"/>
        <v>137901.68</v>
      </c>
      <c r="P28" s="10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53"/>
      <c r="B29" s="53"/>
      <c r="C29" s="53"/>
      <c r="D29" s="54"/>
      <c r="E29" s="55"/>
      <c r="F29" s="55"/>
      <c r="G29" s="55"/>
      <c r="H29" s="55"/>
      <c r="I29" s="55"/>
      <c r="J29" s="56"/>
      <c r="K29" s="53"/>
      <c r="L29" s="53"/>
      <c r="M29" s="53"/>
      <c r="N29" s="53"/>
      <c r="O29" s="5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7" t="s">
        <v>36</v>
      </c>
      <c r="B30" s="8" t="s">
        <v>2</v>
      </c>
      <c r="C30" s="8" t="s">
        <v>3</v>
      </c>
      <c r="D30" s="8" t="s">
        <v>4</v>
      </c>
      <c r="E30" s="8" t="s">
        <v>5</v>
      </c>
      <c r="F30" s="8" t="s">
        <v>6</v>
      </c>
      <c r="G30" s="8" t="s">
        <v>7</v>
      </c>
      <c r="H30" s="8" t="s">
        <v>8</v>
      </c>
      <c r="I30" s="8" t="s">
        <v>9</v>
      </c>
      <c r="J30" s="8" t="s">
        <v>10</v>
      </c>
      <c r="K30" s="8" t="s">
        <v>11</v>
      </c>
      <c r="L30" s="8" t="s">
        <v>12</v>
      </c>
      <c r="M30" s="8" t="s">
        <v>13</v>
      </c>
      <c r="N30" s="8" t="s">
        <v>14</v>
      </c>
      <c r="O30" s="9" t="s">
        <v>37</v>
      </c>
      <c r="P30" s="10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3" t="s">
        <v>38</v>
      </c>
      <c r="B31" s="29">
        <f t="shared" ref="B31:C31" si="11">B7-B12-B28</f>
        <v>0</v>
      </c>
      <c r="C31" s="29">
        <f t="shared" si="11"/>
        <v>0</v>
      </c>
      <c r="D31" s="29">
        <f t="shared" ref="D31:N31" si="12">D7-D11-D28</f>
        <v>2600.8</v>
      </c>
      <c r="E31" s="29">
        <f t="shared" si="12"/>
        <v>5724.97</v>
      </c>
      <c r="F31" s="29">
        <f t="shared" si="12"/>
        <v>7522.44</v>
      </c>
      <c r="G31" s="29">
        <f t="shared" si="12"/>
        <v>6390.66</v>
      </c>
      <c r="H31" s="29">
        <f t="shared" si="12"/>
        <v>8817.79</v>
      </c>
      <c r="I31" s="29">
        <f t="shared" si="12"/>
        <v>8479.44</v>
      </c>
      <c r="J31" s="29">
        <f t="shared" si="12"/>
        <v>12192.65</v>
      </c>
      <c r="K31" s="29">
        <f t="shared" si="12"/>
        <v>13388.01</v>
      </c>
      <c r="L31" s="29">
        <f t="shared" si="12"/>
        <v>9302.52</v>
      </c>
      <c r="M31" s="29">
        <f t="shared" si="12"/>
        <v>12381.37</v>
      </c>
      <c r="N31" s="29">
        <f t="shared" si="12"/>
        <v>21583.78</v>
      </c>
      <c r="O31" s="29">
        <f>SUM(B31:M31)</f>
        <v>86800.65</v>
      </c>
      <c r="P31" s="10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57"/>
      <c r="B32" s="25"/>
      <c r="C32" s="25"/>
      <c r="D32" s="58">
        <f t="shared" ref="D32:N32" si="13">D31/D5</f>
        <v>0.2963601081</v>
      </c>
      <c r="E32" s="58">
        <f t="shared" si="13"/>
        <v>0.3101544279</v>
      </c>
      <c r="F32" s="58">
        <f t="shared" si="13"/>
        <v>0.3002670392</v>
      </c>
      <c r="G32" s="58">
        <f t="shared" si="13"/>
        <v>0.3382507836</v>
      </c>
      <c r="H32" s="58">
        <f t="shared" si="13"/>
        <v>0.3433574445</v>
      </c>
      <c r="I32" s="58">
        <f t="shared" si="13"/>
        <v>0.2870100748</v>
      </c>
      <c r="J32" s="58">
        <f t="shared" si="13"/>
        <v>0.3114816457</v>
      </c>
      <c r="K32" s="58">
        <f t="shared" si="13"/>
        <v>0.2980167034</v>
      </c>
      <c r="L32" s="58">
        <f t="shared" si="13"/>
        <v>0.2763263189</v>
      </c>
      <c r="M32" s="58">
        <f t="shared" si="13"/>
        <v>0.3277281608</v>
      </c>
      <c r="N32" s="58">
        <f t="shared" si="13"/>
        <v>0.324739231</v>
      </c>
      <c r="O32" s="2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59"/>
      <c r="B33" s="60"/>
      <c r="C33" s="60"/>
      <c r="D33" s="61"/>
      <c r="E33" s="61"/>
      <c r="F33" s="61"/>
      <c r="G33" s="61"/>
      <c r="H33" s="61"/>
      <c r="I33" s="62"/>
      <c r="J33" s="62"/>
      <c r="K33" s="62"/>
      <c r="L33" s="62"/>
      <c r="M33" s="62"/>
      <c r="N33" s="62"/>
      <c r="O33" s="6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59"/>
      <c r="B34" s="60"/>
      <c r="C34" s="60"/>
      <c r="D34" s="63"/>
      <c r="E34" s="63"/>
      <c r="F34" s="63"/>
      <c r="G34" s="63"/>
      <c r="H34" s="63"/>
      <c r="I34" s="62"/>
      <c r="J34" s="62"/>
      <c r="K34" s="62"/>
      <c r="L34" s="62"/>
      <c r="M34" s="62"/>
      <c r="N34" s="62"/>
      <c r="O34" s="6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64"/>
      <c r="B35" s="65"/>
      <c r="C35" s="65"/>
      <c r="D35" s="65"/>
      <c r="E35" s="65"/>
      <c r="F35" s="65"/>
      <c r="G35" s="65"/>
      <c r="H35" s="6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66" t="s">
        <v>39</v>
      </c>
      <c r="B36" s="67"/>
      <c r="C36" s="2"/>
      <c r="D36" s="61"/>
      <c r="E36" s="61"/>
      <c r="F36" s="61"/>
      <c r="G36" s="61"/>
      <c r="H36" s="61"/>
      <c r="I36" s="6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1" t="s">
        <v>25</v>
      </c>
      <c r="B37" s="68">
        <f>SUM(O18)</f>
        <v>124019.69</v>
      </c>
      <c r="C37" s="2"/>
      <c r="D37" s="65"/>
      <c r="E37" s="65"/>
      <c r="F37" s="65"/>
      <c r="G37" s="65"/>
      <c r="H37" s="65"/>
      <c r="I37" s="6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34" t="s">
        <v>40</v>
      </c>
      <c r="B38" s="68">
        <f>SUM(O17)</f>
        <v>22784.53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34" t="s">
        <v>41</v>
      </c>
      <c r="B39" s="68">
        <f>SUM(O16)</f>
        <v>631.33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4" t="s">
        <v>26</v>
      </c>
      <c r="B40" s="68">
        <f t="shared" ref="B40:B41" si="14">SUM(O19)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34" t="s">
        <v>27</v>
      </c>
      <c r="B41" s="68">
        <f t="shared" si="14"/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6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54"/>
      <c r="B47" s="3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54"/>
      <c r="B48" s="6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53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54"/>
      <c r="B50" s="13"/>
      <c r="C50" s="1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54"/>
      <c r="B51" s="70"/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5"/>
      <c r="B52" s="2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</row>
    <row r="1001" ht="15.75" customHeight="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</row>
    <row r="1002" ht="15.75" customHeight="1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</row>
  </sheetData>
  <mergeCells count="1">
    <mergeCell ref="A36:B36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</cols>
  <sheetData>
    <row r="1">
      <c r="A1" s="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>
      <c r="A3" s="73"/>
      <c r="B3" s="74">
        <v>2025.0</v>
      </c>
      <c r="C3" s="74">
        <v>2025.0</v>
      </c>
      <c r="D3" s="74">
        <v>2025.0</v>
      </c>
      <c r="E3" s="74">
        <v>2025.0</v>
      </c>
      <c r="F3" s="74">
        <v>2025.0</v>
      </c>
      <c r="G3" s="74">
        <v>2025.0</v>
      </c>
      <c r="H3" s="74">
        <v>2025.0</v>
      </c>
      <c r="I3" s="74">
        <v>2025.0</v>
      </c>
      <c r="J3" s="74">
        <v>2025.0</v>
      </c>
      <c r="K3" s="74">
        <v>2025.0</v>
      </c>
      <c r="L3" s="74">
        <v>2025.0</v>
      </c>
      <c r="M3" s="74">
        <v>2025.0</v>
      </c>
      <c r="N3" s="72"/>
      <c r="O3" s="75"/>
      <c r="P3" s="75"/>
      <c r="Q3" s="75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>
      <c r="A4" s="76" t="s">
        <v>1</v>
      </c>
      <c r="B4" s="77" t="s">
        <v>2</v>
      </c>
      <c r="C4" s="77" t="s">
        <v>3</v>
      </c>
      <c r="D4" s="77" t="s">
        <v>4</v>
      </c>
      <c r="E4" s="77" t="s">
        <v>5</v>
      </c>
      <c r="F4" s="77" t="s">
        <v>6</v>
      </c>
      <c r="G4" s="77" t="s">
        <v>7</v>
      </c>
      <c r="H4" s="77" t="s">
        <v>8</v>
      </c>
      <c r="I4" s="77" t="s">
        <v>9</v>
      </c>
      <c r="J4" s="77" t="s">
        <v>10</v>
      </c>
      <c r="K4" s="77" t="s">
        <v>11</v>
      </c>
      <c r="L4" s="77" t="s">
        <v>12</v>
      </c>
      <c r="M4" s="77" t="s">
        <v>13</v>
      </c>
      <c r="N4" s="78"/>
      <c r="O4" s="75"/>
      <c r="P4" s="75"/>
      <c r="Q4" s="75"/>
      <c r="R4" s="79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>
      <c r="A5" s="80" t="s">
        <v>16</v>
      </c>
      <c r="B5" s="81">
        <v>71850.92</v>
      </c>
      <c r="C5" s="81">
        <v>56827.92</v>
      </c>
      <c r="D5" s="81">
        <v>19296.14</v>
      </c>
      <c r="E5" s="81">
        <v>19331.86</v>
      </c>
      <c r="F5" s="82">
        <v>14340.3</v>
      </c>
      <c r="G5" s="82">
        <v>25998.04</v>
      </c>
      <c r="H5" s="82">
        <v>45640.16</v>
      </c>
      <c r="I5" s="82">
        <v>46980.8</v>
      </c>
      <c r="J5" s="82">
        <v>32268.07</v>
      </c>
      <c r="K5" s="82">
        <v>30550.66</v>
      </c>
      <c r="L5" s="82">
        <v>68879.14</v>
      </c>
      <c r="M5" s="82">
        <v>82910.78</v>
      </c>
      <c r="N5" s="83">
        <f t="shared" ref="N5:N7" si="1">SUM(B5:M5)</f>
        <v>514874.79</v>
      </c>
      <c r="O5" s="75"/>
      <c r="P5" s="75"/>
      <c r="Q5" s="75"/>
      <c r="R5" s="79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>
      <c r="A6" s="84" t="s">
        <v>17</v>
      </c>
      <c r="B6" s="85">
        <v>359.89</v>
      </c>
      <c r="C6" s="85">
        <v>362.83</v>
      </c>
      <c r="D6" s="85">
        <v>423.75</v>
      </c>
      <c r="E6" s="85">
        <v>424.54</v>
      </c>
      <c r="F6" s="85">
        <v>433.04</v>
      </c>
      <c r="G6" s="85">
        <v>220.49</v>
      </c>
      <c r="H6" s="85">
        <v>422.3</v>
      </c>
      <c r="I6" s="85">
        <v>501.32</v>
      </c>
      <c r="J6" s="85">
        <v>304.67</v>
      </c>
      <c r="K6" s="85">
        <v>377.9</v>
      </c>
      <c r="L6" s="86">
        <v>84.28</v>
      </c>
      <c r="M6" s="85">
        <v>195.86</v>
      </c>
      <c r="N6" s="83">
        <f t="shared" si="1"/>
        <v>4110.87</v>
      </c>
      <c r="O6" s="75"/>
      <c r="P6" s="75"/>
      <c r="Q6" s="75"/>
      <c r="R6" s="79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>
      <c r="A7" s="87" t="s">
        <v>18</v>
      </c>
      <c r="B7" s="88">
        <f t="shared" ref="B7:M7" si="2">B5-B6</f>
        <v>71491.03</v>
      </c>
      <c r="C7" s="88">
        <f t="shared" si="2"/>
        <v>56465.09</v>
      </c>
      <c r="D7" s="88">
        <f t="shared" si="2"/>
        <v>18872.39</v>
      </c>
      <c r="E7" s="88">
        <f t="shared" si="2"/>
        <v>18907.32</v>
      </c>
      <c r="F7" s="88">
        <f t="shared" si="2"/>
        <v>13907.26</v>
      </c>
      <c r="G7" s="88">
        <f t="shared" si="2"/>
        <v>25777.55</v>
      </c>
      <c r="H7" s="88">
        <f t="shared" si="2"/>
        <v>45217.86</v>
      </c>
      <c r="I7" s="88">
        <f t="shared" si="2"/>
        <v>46479.48</v>
      </c>
      <c r="J7" s="88">
        <f t="shared" si="2"/>
        <v>31963.4</v>
      </c>
      <c r="K7" s="88">
        <f t="shared" si="2"/>
        <v>30172.76</v>
      </c>
      <c r="L7" s="88">
        <f t="shared" si="2"/>
        <v>68794.86</v>
      </c>
      <c r="M7" s="88">
        <f t="shared" si="2"/>
        <v>82714.92</v>
      </c>
      <c r="N7" s="83">
        <f t="shared" si="1"/>
        <v>510763.92</v>
      </c>
      <c r="O7" s="75"/>
      <c r="P7" s="75"/>
      <c r="Q7" s="75"/>
      <c r="R7" s="79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90"/>
      <c r="O8" s="75"/>
      <c r="P8" s="75"/>
      <c r="Q8" s="75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>
      <c r="A9" s="73"/>
      <c r="B9" s="74">
        <v>2025.0</v>
      </c>
      <c r="C9" s="74">
        <v>2025.0</v>
      </c>
      <c r="D9" s="74">
        <v>2025.0</v>
      </c>
      <c r="E9" s="74">
        <v>2025.0</v>
      </c>
      <c r="F9" s="74">
        <v>2025.0</v>
      </c>
      <c r="G9" s="74">
        <v>2025.0</v>
      </c>
      <c r="H9" s="74">
        <v>2025.0</v>
      </c>
      <c r="I9" s="74">
        <v>2025.0</v>
      </c>
      <c r="J9" s="74">
        <v>2025.0</v>
      </c>
      <c r="K9" s="74">
        <v>2025.0</v>
      </c>
      <c r="L9" s="74">
        <v>2025.0</v>
      </c>
      <c r="M9" s="74">
        <v>2025.0</v>
      </c>
      <c r="N9" s="91"/>
      <c r="O9" s="75"/>
      <c r="P9" s="75"/>
      <c r="Q9" s="75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>
      <c r="A10" s="76" t="s">
        <v>19</v>
      </c>
      <c r="B10" s="77" t="s">
        <v>2</v>
      </c>
      <c r="C10" s="77" t="s">
        <v>3</v>
      </c>
      <c r="D10" s="77" t="s">
        <v>4</v>
      </c>
      <c r="E10" s="77" t="s">
        <v>5</v>
      </c>
      <c r="F10" s="77" t="s">
        <v>6</v>
      </c>
      <c r="G10" s="77" t="s">
        <v>7</v>
      </c>
      <c r="H10" s="77" t="s">
        <v>8</v>
      </c>
      <c r="I10" s="77" t="s">
        <v>9</v>
      </c>
      <c r="J10" s="77" t="s">
        <v>10</v>
      </c>
      <c r="K10" s="77" t="s">
        <v>11</v>
      </c>
      <c r="L10" s="77" t="s">
        <v>12</v>
      </c>
      <c r="M10" s="77" t="s">
        <v>13</v>
      </c>
      <c r="N10" s="78"/>
      <c r="O10" s="75"/>
      <c r="P10" s="75"/>
      <c r="Q10" s="75"/>
      <c r="R10" s="79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>
      <c r="A11" s="92" t="s">
        <v>20</v>
      </c>
      <c r="B11" s="93">
        <v>12214.65</v>
      </c>
      <c r="C11" s="93">
        <v>9660.74</v>
      </c>
      <c r="D11" s="93">
        <v>3280.34</v>
      </c>
      <c r="E11" s="93">
        <v>3286.41</v>
      </c>
      <c r="F11" s="93">
        <v>2437.85</v>
      </c>
      <c r="G11" s="93">
        <v>4326.0</v>
      </c>
      <c r="H11" s="93">
        <v>7193.0</v>
      </c>
      <c r="I11" s="93">
        <v>10181.9</v>
      </c>
      <c r="J11" s="94">
        <v>7300.38</v>
      </c>
      <c r="K11" s="94">
        <v>6675.64</v>
      </c>
      <c r="L11" s="94">
        <v>14418.08</v>
      </c>
      <c r="M11" s="94">
        <v>16304.03</v>
      </c>
      <c r="N11" s="95"/>
      <c r="O11" s="75"/>
      <c r="P11" s="75"/>
      <c r="Q11" s="75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>
      <c r="A12" s="87" t="s">
        <v>21</v>
      </c>
      <c r="B12" s="96">
        <f t="shared" ref="B12:M12" si="3">B7-B11</f>
        <v>59276.38</v>
      </c>
      <c r="C12" s="96">
        <f t="shared" si="3"/>
        <v>46804.35</v>
      </c>
      <c r="D12" s="96">
        <f t="shared" si="3"/>
        <v>15592.05</v>
      </c>
      <c r="E12" s="96">
        <f t="shared" si="3"/>
        <v>15620.91</v>
      </c>
      <c r="F12" s="96">
        <f t="shared" si="3"/>
        <v>11469.41</v>
      </c>
      <c r="G12" s="96">
        <f t="shared" si="3"/>
        <v>21451.55</v>
      </c>
      <c r="H12" s="96">
        <f t="shared" si="3"/>
        <v>38024.86</v>
      </c>
      <c r="I12" s="96">
        <f t="shared" si="3"/>
        <v>36297.58</v>
      </c>
      <c r="J12" s="96">
        <f t="shared" si="3"/>
        <v>24663.02</v>
      </c>
      <c r="K12" s="96">
        <f t="shared" si="3"/>
        <v>23497.12</v>
      </c>
      <c r="L12" s="96">
        <f t="shared" si="3"/>
        <v>54376.78</v>
      </c>
      <c r="M12" s="96">
        <f t="shared" si="3"/>
        <v>66410.89</v>
      </c>
      <c r="N12" s="83">
        <f>SUM(B12:M12)</f>
        <v>413484.9</v>
      </c>
      <c r="O12" s="75"/>
      <c r="P12" s="75"/>
      <c r="Q12" s="75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90"/>
      <c r="O13" s="75"/>
      <c r="P13" s="75"/>
      <c r="Q13" s="75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>
      <c r="A14" s="73"/>
      <c r="B14" s="74">
        <v>2025.0</v>
      </c>
      <c r="C14" s="74">
        <v>2025.0</v>
      </c>
      <c r="D14" s="74">
        <v>2025.0</v>
      </c>
      <c r="E14" s="74">
        <v>2025.0</v>
      </c>
      <c r="F14" s="74">
        <v>2025.0</v>
      </c>
      <c r="G14" s="74">
        <v>2025.0</v>
      </c>
      <c r="H14" s="74">
        <v>2025.0</v>
      </c>
      <c r="I14" s="74">
        <v>2025.0</v>
      </c>
      <c r="J14" s="74">
        <v>2025.0</v>
      </c>
      <c r="K14" s="74">
        <v>2025.0</v>
      </c>
      <c r="L14" s="74">
        <v>2025.0</v>
      </c>
      <c r="M14" s="74">
        <v>2025.0</v>
      </c>
      <c r="N14" s="91"/>
      <c r="O14" s="75"/>
      <c r="P14" s="75"/>
      <c r="Q14" s="75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>
      <c r="A15" s="76" t="s">
        <v>22</v>
      </c>
      <c r="B15" s="77" t="s">
        <v>2</v>
      </c>
      <c r="C15" s="77" t="s">
        <v>3</v>
      </c>
      <c r="D15" s="77" t="s">
        <v>4</v>
      </c>
      <c r="E15" s="77" t="s">
        <v>5</v>
      </c>
      <c r="F15" s="77" t="s">
        <v>6</v>
      </c>
      <c r="G15" s="77" t="s">
        <v>7</v>
      </c>
      <c r="H15" s="77" t="s">
        <v>8</v>
      </c>
      <c r="I15" s="77" t="s">
        <v>9</v>
      </c>
      <c r="J15" s="77" t="s">
        <v>10</v>
      </c>
      <c r="K15" s="77" t="s">
        <v>11</v>
      </c>
      <c r="L15" s="77" t="s">
        <v>12</v>
      </c>
      <c r="M15" s="77" t="s">
        <v>13</v>
      </c>
      <c r="N15" s="78"/>
      <c r="O15" s="75"/>
      <c r="P15" s="75"/>
      <c r="Q15" s="75"/>
      <c r="R15" s="79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>
      <c r="A16" s="80" t="s">
        <v>23</v>
      </c>
      <c r="B16" s="97"/>
      <c r="C16" s="97"/>
      <c r="D16" s="97"/>
      <c r="E16" s="97"/>
      <c r="F16" s="97"/>
      <c r="G16" s="97"/>
      <c r="H16" s="97"/>
      <c r="I16" s="97"/>
      <c r="J16" s="97"/>
      <c r="K16" s="98"/>
      <c r="L16" s="97"/>
      <c r="M16" s="99"/>
      <c r="N16" s="100"/>
      <c r="O16" s="75"/>
      <c r="P16" s="75"/>
      <c r="Q16" s="75"/>
      <c r="R16" s="79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>
      <c r="A17" s="101" t="s">
        <v>24</v>
      </c>
      <c r="B17" s="102">
        <v>12352.13</v>
      </c>
      <c r="C17" s="102">
        <v>11496.15</v>
      </c>
      <c r="D17" s="103">
        <v>6698.86</v>
      </c>
      <c r="E17" s="102">
        <v>6711.26</v>
      </c>
      <c r="F17" s="104">
        <v>6481.62</v>
      </c>
      <c r="G17" s="104">
        <v>9952.15</v>
      </c>
      <c r="H17" s="104">
        <v>19571.84</v>
      </c>
      <c r="I17" s="104">
        <v>22555.87</v>
      </c>
      <c r="J17" s="105">
        <v>15557.19</v>
      </c>
      <c r="K17" s="106">
        <v>12247.75</v>
      </c>
      <c r="L17" s="107">
        <v>26505.27</v>
      </c>
      <c r="M17" s="105">
        <v>35382.54</v>
      </c>
      <c r="N17" s="108"/>
      <c r="O17" s="75"/>
      <c r="P17" s="75"/>
      <c r="Q17" s="75"/>
      <c r="R17" s="79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>
      <c r="A18" s="101" t="s">
        <v>25</v>
      </c>
      <c r="B18" s="102">
        <v>20196.81</v>
      </c>
      <c r="C18" s="103">
        <v>16858.22</v>
      </c>
      <c r="D18" s="104">
        <v>1045.6</v>
      </c>
      <c r="E18" s="103">
        <v>1047.53</v>
      </c>
      <c r="F18" s="104">
        <v>0.0</v>
      </c>
      <c r="G18" s="104">
        <v>0.0</v>
      </c>
      <c r="H18" s="104">
        <v>0.0</v>
      </c>
      <c r="I18" s="104">
        <v>0.0</v>
      </c>
      <c r="J18" s="105">
        <v>0.0</v>
      </c>
      <c r="K18" s="106">
        <v>0.0</v>
      </c>
      <c r="L18" s="107">
        <v>0.0</v>
      </c>
      <c r="M18" s="105">
        <v>0.0</v>
      </c>
      <c r="N18" s="109"/>
      <c r="O18" s="75"/>
      <c r="P18" s="75"/>
      <c r="Q18" s="75"/>
      <c r="R18" s="79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>
      <c r="A19" s="101" t="s">
        <v>26</v>
      </c>
      <c r="B19" s="104"/>
      <c r="C19" s="104"/>
      <c r="D19" s="104"/>
      <c r="E19" s="104"/>
      <c r="F19" s="104"/>
      <c r="G19" s="104"/>
      <c r="H19" s="104"/>
      <c r="I19" s="104"/>
      <c r="J19" s="104"/>
      <c r="K19" s="97"/>
      <c r="L19" s="104"/>
      <c r="M19" s="105"/>
      <c r="N19" s="108"/>
      <c r="O19" s="75"/>
      <c r="P19" s="75"/>
      <c r="Q19" s="75"/>
      <c r="R19" s="79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>
      <c r="A20" s="101" t="s">
        <v>27</v>
      </c>
      <c r="B20" s="104"/>
      <c r="C20" s="104"/>
      <c r="D20" s="104"/>
      <c r="F20" s="104"/>
      <c r="G20" s="104"/>
      <c r="H20" s="110"/>
      <c r="I20" s="104"/>
      <c r="J20" s="104"/>
      <c r="K20" s="106"/>
      <c r="L20" s="104"/>
      <c r="M20" s="105"/>
      <c r="N20" s="108"/>
      <c r="O20" s="75"/>
      <c r="P20" s="75"/>
      <c r="Q20" s="75"/>
      <c r="R20" s="79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>
      <c r="A21" s="101" t="s">
        <v>28</v>
      </c>
      <c r="B21" s="103">
        <v>2874.03</v>
      </c>
      <c r="C21" s="103">
        <v>2273.11</v>
      </c>
      <c r="D21" s="103">
        <v>771.84</v>
      </c>
      <c r="E21" s="103">
        <v>773.27</v>
      </c>
      <c r="F21" s="103">
        <v>573.61</v>
      </c>
      <c r="G21" s="103">
        <v>1039.92</v>
      </c>
      <c r="H21" s="103">
        <v>1825.6</v>
      </c>
      <c r="I21" s="103">
        <v>1879.23</v>
      </c>
      <c r="J21" s="103">
        <v>1290.72</v>
      </c>
      <c r="K21" s="103">
        <v>1222.02</v>
      </c>
      <c r="L21" s="103">
        <v>2755.16</v>
      </c>
      <c r="M21" s="103">
        <v>3316.43</v>
      </c>
      <c r="N21" s="111"/>
      <c r="O21" s="75"/>
      <c r="P21" s="75"/>
      <c r="Q21" s="75"/>
      <c r="R21" s="79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>
      <c r="A22" s="101" t="s">
        <v>29</v>
      </c>
      <c r="B22" s="112">
        <v>277.07</v>
      </c>
      <c r="C22" s="103">
        <v>246.77</v>
      </c>
      <c r="D22" s="112">
        <v>581.27</v>
      </c>
      <c r="E22" s="103">
        <v>582.34</v>
      </c>
      <c r="F22" s="104">
        <v>720.04</v>
      </c>
      <c r="G22" s="104">
        <v>679.31</v>
      </c>
      <c r="H22" s="97">
        <v>711.08</v>
      </c>
      <c r="I22" s="104">
        <v>747.05</v>
      </c>
      <c r="J22" s="105">
        <v>795.52</v>
      </c>
      <c r="K22" s="106">
        <v>652.05</v>
      </c>
      <c r="L22" s="113">
        <v>639.18</v>
      </c>
      <c r="M22" s="106">
        <v>624.44</v>
      </c>
      <c r="N22" s="83"/>
      <c r="O22" s="75"/>
      <c r="P22" s="75"/>
      <c r="Q22" s="75"/>
      <c r="R22" s="79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>
      <c r="A23" s="101" t="s">
        <v>30</v>
      </c>
      <c r="B23" s="104"/>
      <c r="C23" s="104"/>
      <c r="D23" s="104"/>
      <c r="E23" s="104"/>
      <c r="F23" s="104"/>
      <c r="G23" s="104"/>
      <c r="H23" s="104"/>
      <c r="I23" s="104"/>
      <c r="J23" s="105"/>
      <c r="K23" s="106"/>
      <c r="L23" s="107"/>
      <c r="M23" s="99"/>
      <c r="N23" s="100"/>
      <c r="O23" s="75"/>
      <c r="P23" s="75"/>
      <c r="Q23" s="75"/>
      <c r="R23" s="79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>
      <c r="A24" s="101" t="s">
        <v>31</v>
      </c>
      <c r="B24" s="104"/>
      <c r="C24" s="104"/>
      <c r="D24" s="104"/>
      <c r="E24" s="104"/>
      <c r="F24" s="104"/>
      <c r="G24" s="104"/>
      <c r="H24" s="104"/>
      <c r="I24" s="104"/>
      <c r="J24" s="105"/>
      <c r="K24" s="106"/>
      <c r="L24" s="107"/>
      <c r="M24" s="105"/>
      <c r="N24" s="108"/>
      <c r="O24" s="75"/>
      <c r="P24" s="75"/>
      <c r="Q24" s="75"/>
      <c r="R24" s="79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>
      <c r="A25" s="101" t="s">
        <v>32</v>
      </c>
      <c r="B25" s="48">
        <v>100.0</v>
      </c>
      <c r="C25" s="48">
        <v>100.0</v>
      </c>
      <c r="D25" s="48">
        <v>100.0</v>
      </c>
      <c r="E25" s="48">
        <v>100.0</v>
      </c>
      <c r="F25" s="48">
        <v>100.0</v>
      </c>
      <c r="G25" s="48">
        <v>100.0</v>
      </c>
      <c r="H25" s="48">
        <v>100.0</v>
      </c>
      <c r="I25" s="48">
        <v>100.0</v>
      </c>
      <c r="J25" s="48">
        <v>100.0</v>
      </c>
      <c r="K25" s="48">
        <v>100.0</v>
      </c>
      <c r="L25" s="48">
        <v>100.0</v>
      </c>
      <c r="M25" s="48">
        <v>100.0</v>
      </c>
      <c r="N25" s="108"/>
      <c r="O25" s="75"/>
      <c r="P25" s="75"/>
      <c r="Q25" s="75"/>
      <c r="R25" s="79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>
      <c r="A26" s="101" t="s">
        <v>33</v>
      </c>
      <c r="B26" s="104"/>
      <c r="C26" s="104"/>
      <c r="D26" s="104"/>
      <c r="E26" s="104"/>
      <c r="F26" s="104"/>
      <c r="G26" s="104"/>
      <c r="H26" s="104"/>
      <c r="I26" s="104"/>
      <c r="J26" s="104"/>
      <c r="K26" s="98"/>
      <c r="L26" s="104"/>
      <c r="M26" s="105"/>
      <c r="N26" s="108"/>
      <c r="O26" s="75"/>
      <c r="P26" s="75"/>
      <c r="Q26" s="75"/>
      <c r="R26" s="79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>
      <c r="A27" s="84" t="s">
        <v>34</v>
      </c>
      <c r="B27" s="110">
        <v>218.5</v>
      </c>
      <c r="C27" s="110">
        <v>368.27</v>
      </c>
      <c r="D27" s="110">
        <v>192.96</v>
      </c>
      <c r="E27" s="110">
        <v>193.31</v>
      </c>
      <c r="F27" s="110">
        <v>143.4</v>
      </c>
      <c r="G27" s="110">
        <v>202.5</v>
      </c>
      <c r="H27" s="110">
        <v>150.99</v>
      </c>
      <c r="I27" s="110">
        <v>310.2</v>
      </c>
      <c r="J27" s="114">
        <v>190.99</v>
      </c>
      <c r="K27" s="106">
        <v>145.32</v>
      </c>
      <c r="L27" s="115">
        <v>167.88</v>
      </c>
      <c r="M27" s="114">
        <v>189.8</v>
      </c>
      <c r="N27" s="111"/>
      <c r="O27" s="75"/>
      <c r="P27" s="75"/>
      <c r="Q27" s="75"/>
      <c r="R27" s="79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>
      <c r="A28" s="87" t="s">
        <v>35</v>
      </c>
      <c r="B28" s="96">
        <f t="shared" ref="B28:M28" si="4">SUM(B16:B27)</f>
        <v>36018.54</v>
      </c>
      <c r="C28" s="96">
        <f t="shared" si="4"/>
        <v>31342.52</v>
      </c>
      <c r="D28" s="96">
        <f t="shared" si="4"/>
        <v>9390.53</v>
      </c>
      <c r="E28" s="96">
        <f t="shared" si="4"/>
        <v>9407.71</v>
      </c>
      <c r="F28" s="96">
        <f t="shared" si="4"/>
        <v>8018.67</v>
      </c>
      <c r="G28" s="96">
        <f t="shared" si="4"/>
        <v>11973.88</v>
      </c>
      <c r="H28" s="96">
        <f t="shared" si="4"/>
        <v>22359.51</v>
      </c>
      <c r="I28" s="96">
        <f t="shared" si="4"/>
        <v>25592.35</v>
      </c>
      <c r="J28" s="96">
        <f t="shared" si="4"/>
        <v>17934.42</v>
      </c>
      <c r="K28" s="96">
        <f t="shared" si="4"/>
        <v>14367.14</v>
      </c>
      <c r="L28" s="96">
        <f t="shared" si="4"/>
        <v>30167.49</v>
      </c>
      <c r="M28" s="96">
        <f t="shared" si="4"/>
        <v>39613.21</v>
      </c>
      <c r="N28" s="83">
        <f>SUM(B28:M28)</f>
        <v>256185.97</v>
      </c>
      <c r="O28" s="75"/>
      <c r="P28" s="75"/>
      <c r="Q28" s="75"/>
      <c r="R28" s="79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>
      <c r="A29" s="116"/>
      <c r="B29" s="116"/>
      <c r="C29" s="116"/>
      <c r="D29" s="117"/>
      <c r="E29" s="118"/>
      <c r="F29" s="118"/>
      <c r="G29" s="118"/>
      <c r="H29" s="118"/>
      <c r="I29" s="118"/>
      <c r="J29" s="119"/>
      <c r="K29" s="116"/>
      <c r="L29" s="116"/>
      <c r="M29" s="116"/>
      <c r="N29" s="120"/>
      <c r="O29" s="75"/>
      <c r="P29" s="75"/>
      <c r="Q29" s="75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>
      <c r="A30" s="76" t="s">
        <v>36</v>
      </c>
      <c r="B30" s="77" t="s">
        <v>2</v>
      </c>
      <c r="C30" s="77" t="s">
        <v>3</v>
      </c>
      <c r="D30" s="77" t="s">
        <v>4</v>
      </c>
      <c r="E30" s="77" t="s">
        <v>5</v>
      </c>
      <c r="F30" s="77" t="s">
        <v>6</v>
      </c>
      <c r="G30" s="77" t="s">
        <v>7</v>
      </c>
      <c r="H30" s="77" t="s">
        <v>8</v>
      </c>
      <c r="I30" s="77" t="s">
        <v>9</v>
      </c>
      <c r="J30" s="77" t="s">
        <v>10</v>
      </c>
      <c r="K30" s="77" t="s">
        <v>11</v>
      </c>
      <c r="L30" s="77" t="s">
        <v>12</v>
      </c>
      <c r="M30" s="77" t="s">
        <v>13</v>
      </c>
      <c r="N30" s="78"/>
      <c r="O30" s="75"/>
      <c r="P30" s="75"/>
      <c r="Q30" s="75"/>
      <c r="R30" s="79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>
      <c r="A31" s="87" t="s">
        <v>38</v>
      </c>
      <c r="B31" s="96">
        <f t="shared" ref="B31:M31" si="5">B7-B11-B28</f>
        <v>23257.84</v>
      </c>
      <c r="C31" s="96">
        <f t="shared" si="5"/>
        <v>15461.83</v>
      </c>
      <c r="D31" s="96">
        <f t="shared" si="5"/>
        <v>6201.52</v>
      </c>
      <c r="E31" s="96">
        <f t="shared" si="5"/>
        <v>6213.2</v>
      </c>
      <c r="F31" s="96">
        <f t="shared" si="5"/>
        <v>3450.74</v>
      </c>
      <c r="G31" s="96">
        <f t="shared" si="5"/>
        <v>9477.67</v>
      </c>
      <c r="H31" s="96">
        <f t="shared" si="5"/>
        <v>15665.35</v>
      </c>
      <c r="I31" s="96">
        <f t="shared" si="5"/>
        <v>10705.23</v>
      </c>
      <c r="J31" s="96">
        <f t="shared" si="5"/>
        <v>6728.6</v>
      </c>
      <c r="K31" s="96">
        <f t="shared" si="5"/>
        <v>9129.98</v>
      </c>
      <c r="L31" s="96">
        <f t="shared" si="5"/>
        <v>24209.29</v>
      </c>
      <c r="M31" s="96">
        <f t="shared" si="5"/>
        <v>26797.68</v>
      </c>
      <c r="N31" s="83">
        <f>SUM(B31:M31)</f>
        <v>157298.93</v>
      </c>
      <c r="O31" s="75"/>
      <c r="P31" s="75"/>
      <c r="Q31" s="75"/>
      <c r="R31" s="79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>
      <c r="A32" s="89"/>
      <c r="B32" s="121">
        <f t="shared" ref="B32:M32" si="6">B31/B5</f>
        <v>0.3236957857</v>
      </c>
      <c r="C32" s="121">
        <f t="shared" si="6"/>
        <v>0.2720815754</v>
      </c>
      <c r="D32" s="121">
        <f t="shared" si="6"/>
        <v>0.3213865571</v>
      </c>
      <c r="E32" s="121">
        <f t="shared" si="6"/>
        <v>0.3213969065</v>
      </c>
      <c r="F32" s="121">
        <f t="shared" si="6"/>
        <v>0.2406323438</v>
      </c>
      <c r="G32" s="121">
        <f t="shared" si="6"/>
        <v>0.3645532509</v>
      </c>
      <c r="H32" s="121">
        <f t="shared" si="6"/>
        <v>0.3432360886</v>
      </c>
      <c r="I32" s="121">
        <f t="shared" si="6"/>
        <v>0.2278639359</v>
      </c>
      <c r="J32" s="121">
        <f t="shared" si="6"/>
        <v>0.2085219228</v>
      </c>
      <c r="K32" s="121">
        <f t="shared" si="6"/>
        <v>0.2988472262</v>
      </c>
      <c r="L32" s="121">
        <f t="shared" si="6"/>
        <v>0.3514749168</v>
      </c>
      <c r="M32" s="121">
        <f t="shared" si="6"/>
        <v>0.3232110469</v>
      </c>
      <c r="N32" s="121"/>
      <c r="O32" s="75"/>
      <c r="P32" s="75"/>
      <c r="Q32" s="75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>
      <c r="A33" s="122"/>
      <c r="B33" s="123"/>
      <c r="C33" s="124"/>
      <c r="D33" s="124"/>
      <c r="E33" s="124"/>
      <c r="F33" s="124"/>
      <c r="G33" s="124"/>
      <c r="H33" s="124"/>
      <c r="I33" s="125"/>
      <c r="J33" s="125"/>
      <c r="K33" s="125"/>
      <c r="L33" s="125"/>
      <c r="M33" s="125"/>
      <c r="N33" s="72"/>
      <c r="O33" s="125"/>
      <c r="P33" s="125"/>
      <c r="Q33" s="125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>
      <c r="A34" s="122"/>
      <c r="B34" s="123"/>
      <c r="C34" s="126"/>
      <c r="D34" s="126"/>
      <c r="E34" s="126"/>
      <c r="F34" s="126"/>
      <c r="G34" s="126"/>
      <c r="H34" s="126"/>
      <c r="I34" s="125"/>
      <c r="J34" s="125"/>
      <c r="K34" s="125"/>
      <c r="L34" s="125"/>
      <c r="M34" s="125"/>
      <c r="N34" s="125"/>
      <c r="O34" s="125"/>
      <c r="P34" s="125"/>
      <c r="Q34" s="125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27"/>
      <c r="B35" s="127"/>
      <c r="C35" s="127"/>
      <c r="D35" s="127"/>
      <c r="E35" s="127"/>
      <c r="F35" s="127"/>
      <c r="G35" s="127"/>
      <c r="H35" s="127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28" t="s">
        <v>39</v>
      </c>
      <c r="B37" s="67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29"/>
      <c r="B38" s="130"/>
      <c r="C38" s="124"/>
      <c r="D38" s="124"/>
      <c r="E38" s="124"/>
      <c r="F38" s="124"/>
      <c r="G38" s="124"/>
      <c r="H38" s="124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31"/>
      <c r="B39" s="13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31"/>
      <c r="B40" s="13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31"/>
      <c r="B41" s="13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31"/>
      <c r="B42" s="13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72"/>
      <c r="B43" s="13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73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17"/>
      <c r="B48" s="13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17"/>
      <c r="B49" s="133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16"/>
      <c r="B50" s="73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17"/>
      <c r="B51" s="94"/>
      <c r="C51" s="79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17"/>
      <c r="B52" s="134"/>
      <c r="C52" s="79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89"/>
      <c r="B53" s="89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13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13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13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13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13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13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13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13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13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13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13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13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13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13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13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13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13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13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13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13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13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13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13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13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13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13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13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13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13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13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13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13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13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13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13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13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13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13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13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13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13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13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13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13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13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13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13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13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13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13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13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13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13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13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13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13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13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13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13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13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13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13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13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13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13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13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13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13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13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13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13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13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13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13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13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13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13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13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13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13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13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13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13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13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13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13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13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13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13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13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13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13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13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13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13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13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13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13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13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13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13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13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13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13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13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13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13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13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13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13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13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13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13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13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13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13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13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13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13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13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13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13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13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13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13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13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13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13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13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13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13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13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13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13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13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13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13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13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13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13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13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13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13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13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13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13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13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13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13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13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13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13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13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13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13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13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13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13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13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13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13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13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13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13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13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13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13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13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13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13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13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13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13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13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13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13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13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13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13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13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13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13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13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13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13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13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13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13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13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13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13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13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13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13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13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13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13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13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13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13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13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13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13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13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13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13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13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13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13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13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13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13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13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13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13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13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13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13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13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13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13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13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13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13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13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13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13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13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13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13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13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13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13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13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13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13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13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13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13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13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13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13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13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13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13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13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13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13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13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13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13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13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13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13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13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13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13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13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13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13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13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13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13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13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13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13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13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13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13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13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13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13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13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13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13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13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13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13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13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13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13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13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13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13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13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13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13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13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13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13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13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13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13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13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13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13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13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13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13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13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13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13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13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13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13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13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13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13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13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13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13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13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13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13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13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13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13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13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13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13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13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13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13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13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13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13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13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13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13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13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13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13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13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13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13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13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13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13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13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13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13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13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13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13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13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13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13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13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13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13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13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13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13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13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13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13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13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13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13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13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13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13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13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13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13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13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13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13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13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13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13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13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13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13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13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13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13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13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13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13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13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13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13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13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13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13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13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13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13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13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13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13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13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13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13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13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13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13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13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13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13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13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13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13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13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13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13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13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13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13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13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13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13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13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13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13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13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13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13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13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13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13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13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13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13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13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13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13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13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13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13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13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13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13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13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13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13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13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13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13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13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13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13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13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13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13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13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13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13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13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13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13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13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13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13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13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13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13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13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13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13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13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13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13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13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13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13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13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13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13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13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13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13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13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13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13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13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13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13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13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13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13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13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13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13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13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13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13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13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13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13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13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13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13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13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13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13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13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13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13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13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13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13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13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13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13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13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13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13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13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13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13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13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13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13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13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13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13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13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13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13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13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13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13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13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13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13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13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13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13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13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13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13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13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13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13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13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13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13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13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13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13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13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13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13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13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13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13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13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13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13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13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13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13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13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13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13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13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13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13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13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13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13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13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13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13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13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13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13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13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13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13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13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13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13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13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13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13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13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13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13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13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13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13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13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13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13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13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13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13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13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13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13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13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13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13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13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13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13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13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13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13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13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13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13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13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13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13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13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13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13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13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13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13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13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13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13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13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13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13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13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13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13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13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13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13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13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13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13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13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13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13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13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13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13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13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13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13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13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13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13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13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13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13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13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13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13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13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13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13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13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13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13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13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13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13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13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13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13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13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13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13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13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13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13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13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13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13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13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13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13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13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13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13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13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13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13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13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13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13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13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13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13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13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13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13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13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13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13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13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13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13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13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13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13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13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13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13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13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13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13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13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13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13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13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13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13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13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13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13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13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13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13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13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13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13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13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13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13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13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13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13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13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13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13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13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13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13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13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13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13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13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13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13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13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13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13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13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13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13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13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13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13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13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13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13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13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13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13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13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13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13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13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13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13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13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13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13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13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13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  <c r="AA1002" s="75"/>
      <c r="AB1002" s="75"/>
      <c r="AC1002" s="75"/>
    </row>
    <row r="1003">
      <c r="A1003" s="75"/>
      <c r="B1003" s="75"/>
      <c r="C1003" s="75"/>
      <c r="D1003" s="75"/>
      <c r="E1003" s="75"/>
      <c r="F1003" s="75"/>
      <c r="G1003" s="75"/>
      <c r="H1003" s="75"/>
      <c r="I1003" s="75"/>
      <c r="J1003" s="75"/>
      <c r="K1003" s="75"/>
      <c r="L1003" s="75"/>
      <c r="M1003" s="75"/>
      <c r="N1003" s="13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  <c r="AA1003" s="75"/>
      <c r="AB1003" s="75"/>
      <c r="AC1003" s="75"/>
    </row>
  </sheetData>
  <mergeCells count="1">
    <mergeCell ref="A37:B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</cols>
  <sheetData>
    <row r="1">
      <c r="A1" s="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>
      <c r="A3" s="73"/>
      <c r="B3" s="74">
        <v>2026.0</v>
      </c>
      <c r="C3" s="74">
        <v>2026.0</v>
      </c>
      <c r="D3" s="74">
        <v>2026.0</v>
      </c>
      <c r="E3" s="74">
        <v>2026.0</v>
      </c>
      <c r="F3" s="74">
        <v>2026.0</v>
      </c>
      <c r="G3" s="74">
        <v>2026.0</v>
      </c>
      <c r="H3" s="74">
        <v>2026.0</v>
      </c>
      <c r="I3" s="74">
        <v>2026.0</v>
      </c>
      <c r="J3" s="74">
        <v>2026.0</v>
      </c>
      <c r="K3" s="74">
        <v>2026.0</v>
      </c>
      <c r="L3" s="74">
        <v>2026.0</v>
      </c>
      <c r="M3" s="74">
        <v>2026.0</v>
      </c>
      <c r="N3" s="72"/>
      <c r="O3" s="75"/>
      <c r="P3" s="75"/>
      <c r="Q3" s="75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>
      <c r="A4" s="76" t="s">
        <v>1</v>
      </c>
      <c r="B4" s="77" t="s">
        <v>2</v>
      </c>
      <c r="C4" s="77" t="s">
        <v>3</v>
      </c>
      <c r="D4" s="77" t="s">
        <v>4</v>
      </c>
      <c r="E4" s="77" t="s">
        <v>5</v>
      </c>
      <c r="F4" s="77" t="s">
        <v>6</v>
      </c>
      <c r="G4" s="77" t="s">
        <v>7</v>
      </c>
      <c r="H4" s="77" t="s">
        <v>8</v>
      </c>
      <c r="I4" s="77" t="s">
        <v>9</v>
      </c>
      <c r="J4" s="77" t="s">
        <v>10</v>
      </c>
      <c r="K4" s="77" t="s">
        <v>11</v>
      </c>
      <c r="L4" s="77" t="s">
        <v>12</v>
      </c>
      <c r="M4" s="77" t="s">
        <v>13</v>
      </c>
      <c r="N4" s="78"/>
      <c r="O4" s="75"/>
      <c r="P4" s="75"/>
      <c r="Q4" s="75"/>
      <c r="R4" s="79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>
      <c r="A5" s="80" t="s">
        <v>16</v>
      </c>
      <c r="B5" s="81">
        <v>51226.65</v>
      </c>
      <c r="C5" s="81">
        <v>32848.26</v>
      </c>
      <c r="D5" s="81"/>
      <c r="E5" s="81"/>
      <c r="F5" s="82"/>
      <c r="G5" s="82"/>
      <c r="H5" s="82"/>
      <c r="I5" s="82"/>
      <c r="J5" s="82"/>
      <c r="K5" s="82"/>
      <c r="L5" s="82"/>
      <c r="M5" s="82"/>
      <c r="N5" s="83">
        <f t="shared" ref="N5:N7" si="1">SUM(B5:M5)</f>
        <v>84074.91</v>
      </c>
      <c r="O5" s="75"/>
      <c r="P5" s="75"/>
      <c r="Q5" s="75"/>
      <c r="R5" s="79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>
      <c r="A6" s="84" t="s">
        <v>17</v>
      </c>
      <c r="B6" s="85">
        <v>199.94</v>
      </c>
      <c r="C6" s="85">
        <v>38.98</v>
      </c>
      <c r="D6" s="85"/>
      <c r="E6" s="85"/>
      <c r="F6" s="85"/>
      <c r="G6" s="85"/>
      <c r="H6" s="85"/>
      <c r="I6" s="85"/>
      <c r="J6" s="85"/>
      <c r="K6" s="85"/>
      <c r="L6" s="86"/>
      <c r="M6" s="85"/>
      <c r="N6" s="83">
        <f t="shared" si="1"/>
        <v>238.92</v>
      </c>
      <c r="O6" s="75"/>
      <c r="P6" s="75"/>
      <c r="Q6" s="75"/>
      <c r="R6" s="79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>
      <c r="A7" s="87" t="s">
        <v>18</v>
      </c>
      <c r="B7" s="88">
        <f t="shared" ref="B7:M7" si="2">B5-B6</f>
        <v>51026.71</v>
      </c>
      <c r="C7" s="88">
        <f t="shared" si="2"/>
        <v>32809.28</v>
      </c>
      <c r="D7" s="88">
        <f t="shared" si="2"/>
        <v>0</v>
      </c>
      <c r="E7" s="88">
        <f t="shared" si="2"/>
        <v>0</v>
      </c>
      <c r="F7" s="88">
        <f t="shared" si="2"/>
        <v>0</v>
      </c>
      <c r="G7" s="88">
        <f t="shared" si="2"/>
        <v>0</v>
      </c>
      <c r="H7" s="88">
        <f t="shared" si="2"/>
        <v>0</v>
      </c>
      <c r="I7" s="88">
        <f t="shared" si="2"/>
        <v>0</v>
      </c>
      <c r="J7" s="88">
        <f t="shared" si="2"/>
        <v>0</v>
      </c>
      <c r="K7" s="88">
        <f t="shared" si="2"/>
        <v>0</v>
      </c>
      <c r="L7" s="88">
        <f t="shared" si="2"/>
        <v>0</v>
      </c>
      <c r="M7" s="88">
        <f t="shared" si="2"/>
        <v>0</v>
      </c>
      <c r="N7" s="83">
        <f t="shared" si="1"/>
        <v>83835.99</v>
      </c>
      <c r="O7" s="75"/>
      <c r="P7" s="75"/>
      <c r="Q7" s="75"/>
      <c r="R7" s="79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90"/>
      <c r="O8" s="75"/>
      <c r="P8" s="75"/>
      <c r="Q8" s="75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>
      <c r="A9" s="73"/>
      <c r="B9" s="74">
        <v>2026.0</v>
      </c>
      <c r="C9" s="74">
        <v>2026.0</v>
      </c>
      <c r="D9" s="74">
        <v>2026.0</v>
      </c>
      <c r="E9" s="74">
        <v>2026.0</v>
      </c>
      <c r="F9" s="74">
        <v>2026.0</v>
      </c>
      <c r="G9" s="74">
        <v>2026.0</v>
      </c>
      <c r="H9" s="74">
        <v>2026.0</v>
      </c>
      <c r="I9" s="74">
        <v>2026.0</v>
      </c>
      <c r="J9" s="74">
        <v>2026.0</v>
      </c>
      <c r="K9" s="74">
        <v>2026.0</v>
      </c>
      <c r="L9" s="74">
        <v>2026.0</v>
      </c>
      <c r="M9" s="74">
        <v>2026.0</v>
      </c>
      <c r="N9" s="91"/>
      <c r="O9" s="75"/>
      <c r="P9" s="75"/>
      <c r="Q9" s="75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>
      <c r="A10" s="76" t="s">
        <v>19</v>
      </c>
      <c r="B10" s="77" t="s">
        <v>2</v>
      </c>
      <c r="C10" s="77" t="s">
        <v>3</v>
      </c>
      <c r="D10" s="77" t="s">
        <v>4</v>
      </c>
      <c r="E10" s="77" t="s">
        <v>5</v>
      </c>
      <c r="F10" s="77" t="s">
        <v>6</v>
      </c>
      <c r="G10" s="77" t="s">
        <v>7</v>
      </c>
      <c r="H10" s="77" t="s">
        <v>8</v>
      </c>
      <c r="I10" s="77" t="s">
        <v>9</v>
      </c>
      <c r="J10" s="77" t="s">
        <v>10</v>
      </c>
      <c r="K10" s="77" t="s">
        <v>11</v>
      </c>
      <c r="L10" s="77" t="s">
        <v>12</v>
      </c>
      <c r="M10" s="77" t="s">
        <v>13</v>
      </c>
      <c r="N10" s="78"/>
      <c r="O10" s="75"/>
      <c r="P10" s="75"/>
      <c r="Q10" s="75"/>
      <c r="R10" s="79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>
      <c r="A11" s="92" t="s">
        <v>20</v>
      </c>
      <c r="B11" s="93">
        <v>9976.73</v>
      </c>
      <c r="C11" s="93">
        <v>5912.68</v>
      </c>
      <c r="D11" s="93"/>
      <c r="E11" s="93"/>
      <c r="F11" s="93"/>
      <c r="G11" s="93"/>
      <c r="H11" s="93"/>
      <c r="I11" s="93"/>
      <c r="J11" s="94"/>
      <c r="K11" s="94"/>
      <c r="L11" s="94"/>
      <c r="M11" s="94"/>
      <c r="N11" s="95"/>
      <c r="O11" s="75"/>
      <c r="P11" s="75"/>
      <c r="Q11" s="75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>
      <c r="A12" s="87" t="s">
        <v>21</v>
      </c>
      <c r="B12" s="96">
        <f t="shared" ref="B12:M12" si="3">B7-B11</f>
        <v>41049.98</v>
      </c>
      <c r="C12" s="96">
        <f t="shared" si="3"/>
        <v>26896.6</v>
      </c>
      <c r="D12" s="96">
        <f t="shared" si="3"/>
        <v>0</v>
      </c>
      <c r="E12" s="96">
        <f t="shared" si="3"/>
        <v>0</v>
      </c>
      <c r="F12" s="96">
        <f t="shared" si="3"/>
        <v>0</v>
      </c>
      <c r="G12" s="96">
        <f t="shared" si="3"/>
        <v>0</v>
      </c>
      <c r="H12" s="96">
        <f t="shared" si="3"/>
        <v>0</v>
      </c>
      <c r="I12" s="96">
        <f t="shared" si="3"/>
        <v>0</v>
      </c>
      <c r="J12" s="96">
        <f t="shared" si="3"/>
        <v>0</v>
      </c>
      <c r="K12" s="96">
        <f t="shared" si="3"/>
        <v>0</v>
      </c>
      <c r="L12" s="96">
        <f t="shared" si="3"/>
        <v>0</v>
      </c>
      <c r="M12" s="96">
        <f t="shared" si="3"/>
        <v>0</v>
      </c>
      <c r="N12" s="83">
        <f>SUM(B12:M12)</f>
        <v>67946.58</v>
      </c>
      <c r="O12" s="75"/>
      <c r="P12" s="75"/>
      <c r="Q12" s="75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90"/>
      <c r="O13" s="75"/>
      <c r="P13" s="75"/>
      <c r="Q13" s="75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>
      <c r="A14" s="73"/>
      <c r="B14" s="74">
        <v>2026.0</v>
      </c>
      <c r="C14" s="74">
        <v>2026.0</v>
      </c>
      <c r="D14" s="74">
        <v>2026.0</v>
      </c>
      <c r="E14" s="74">
        <v>2026.0</v>
      </c>
      <c r="F14" s="74">
        <v>2026.0</v>
      </c>
      <c r="G14" s="74">
        <v>2026.0</v>
      </c>
      <c r="H14" s="74">
        <v>2026.0</v>
      </c>
      <c r="I14" s="74">
        <v>2026.0</v>
      </c>
      <c r="J14" s="74">
        <v>2026.0</v>
      </c>
      <c r="K14" s="74">
        <v>2026.0</v>
      </c>
      <c r="L14" s="74">
        <v>2026.0</v>
      </c>
      <c r="M14" s="74">
        <v>2026.0</v>
      </c>
      <c r="N14" s="91"/>
      <c r="O14" s="75"/>
      <c r="P14" s="75"/>
      <c r="Q14" s="75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>
      <c r="A15" s="76" t="s">
        <v>22</v>
      </c>
      <c r="B15" s="77" t="s">
        <v>2</v>
      </c>
      <c r="C15" s="77" t="s">
        <v>3</v>
      </c>
      <c r="D15" s="77" t="s">
        <v>4</v>
      </c>
      <c r="E15" s="77" t="s">
        <v>5</v>
      </c>
      <c r="F15" s="77" t="s">
        <v>6</v>
      </c>
      <c r="G15" s="77" t="s">
        <v>7</v>
      </c>
      <c r="H15" s="77" t="s">
        <v>8</v>
      </c>
      <c r="I15" s="77" t="s">
        <v>9</v>
      </c>
      <c r="J15" s="77" t="s">
        <v>10</v>
      </c>
      <c r="K15" s="77" t="s">
        <v>11</v>
      </c>
      <c r="L15" s="77" t="s">
        <v>12</v>
      </c>
      <c r="M15" s="77" t="s">
        <v>13</v>
      </c>
      <c r="N15" s="78"/>
      <c r="O15" s="75"/>
      <c r="P15" s="75"/>
      <c r="Q15" s="75"/>
      <c r="R15" s="79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>
      <c r="A16" s="80" t="s">
        <v>23</v>
      </c>
      <c r="B16" s="97"/>
      <c r="C16" s="97"/>
      <c r="D16" s="97"/>
      <c r="E16" s="97"/>
      <c r="F16" s="97"/>
      <c r="G16" s="97"/>
      <c r="H16" s="97"/>
      <c r="I16" s="97"/>
      <c r="J16" s="97"/>
      <c r="K16" s="98"/>
      <c r="L16" s="97"/>
      <c r="M16" s="99"/>
      <c r="N16" s="100"/>
      <c r="O16" s="75"/>
      <c r="P16" s="75"/>
      <c r="Q16" s="75"/>
      <c r="R16" s="79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>
      <c r="A17" s="101" t="s">
        <v>24</v>
      </c>
      <c r="B17" s="102">
        <v>23653.22</v>
      </c>
      <c r="C17" s="102">
        <v>14362.77</v>
      </c>
      <c r="D17" s="103"/>
      <c r="E17" s="102"/>
      <c r="F17" s="104"/>
      <c r="G17" s="104"/>
      <c r="H17" s="104"/>
      <c r="I17" s="104"/>
      <c r="J17" s="105"/>
      <c r="K17" s="106"/>
      <c r="L17" s="107"/>
      <c r="M17" s="105"/>
      <c r="N17" s="108"/>
      <c r="O17" s="75"/>
      <c r="P17" s="75"/>
      <c r="Q17" s="75"/>
      <c r="R17" s="79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>
      <c r="A18" s="101" t="s">
        <v>25</v>
      </c>
      <c r="B18" s="102"/>
      <c r="C18" s="103"/>
      <c r="D18" s="104"/>
      <c r="E18" s="103"/>
      <c r="F18" s="104"/>
      <c r="G18" s="104"/>
      <c r="H18" s="104"/>
      <c r="I18" s="104"/>
      <c r="J18" s="105"/>
      <c r="K18" s="106"/>
      <c r="L18" s="107"/>
      <c r="M18" s="105"/>
      <c r="N18" s="109"/>
      <c r="O18" s="75"/>
      <c r="P18" s="75"/>
      <c r="Q18" s="75"/>
      <c r="R18" s="79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>
      <c r="A19" s="101" t="s">
        <v>26</v>
      </c>
      <c r="B19" s="104"/>
      <c r="C19" s="104"/>
      <c r="D19" s="104"/>
      <c r="E19" s="104"/>
      <c r="F19" s="104"/>
      <c r="G19" s="104"/>
      <c r="H19" s="104"/>
      <c r="I19" s="104"/>
      <c r="J19" s="104"/>
      <c r="K19" s="97"/>
      <c r="L19" s="104"/>
      <c r="M19" s="105"/>
      <c r="N19" s="108"/>
      <c r="O19" s="75"/>
      <c r="P19" s="75"/>
      <c r="Q19" s="75"/>
      <c r="R19" s="79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>
      <c r="A20" s="101" t="s">
        <v>27</v>
      </c>
      <c r="B20" s="104"/>
      <c r="C20" s="104"/>
      <c r="D20" s="104"/>
      <c r="F20" s="104"/>
      <c r="G20" s="104"/>
      <c r="H20" s="110"/>
      <c r="I20" s="104"/>
      <c r="J20" s="104"/>
      <c r="K20" s="106"/>
      <c r="L20" s="104"/>
      <c r="M20" s="105"/>
      <c r="N20" s="108"/>
      <c r="O20" s="75"/>
      <c r="P20" s="75"/>
      <c r="Q20" s="75"/>
      <c r="R20" s="79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>
      <c r="A21" s="101" t="s">
        <v>28</v>
      </c>
      <c r="B21" s="103">
        <v>2049.06</v>
      </c>
      <c r="C21" s="103">
        <v>985.44</v>
      </c>
      <c r="D21" s="103"/>
      <c r="E21" s="103"/>
      <c r="F21" s="103"/>
      <c r="G21" s="105"/>
      <c r="H21" s="106"/>
      <c r="I21" s="107"/>
      <c r="J21" s="105"/>
      <c r="K21" s="106"/>
      <c r="L21" s="107"/>
      <c r="M21" s="114"/>
      <c r="N21" s="111"/>
      <c r="O21" s="75"/>
      <c r="P21" s="75"/>
      <c r="Q21" s="75"/>
      <c r="R21" s="79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>
      <c r="A22" s="101" t="s">
        <v>29</v>
      </c>
      <c r="B22" s="112">
        <v>843.98</v>
      </c>
      <c r="C22" s="103">
        <v>809.33</v>
      </c>
      <c r="E22" s="103"/>
      <c r="F22" s="104"/>
      <c r="G22" s="104"/>
      <c r="H22" s="97"/>
      <c r="I22" s="104"/>
      <c r="J22" s="105"/>
      <c r="K22" s="106"/>
      <c r="L22" s="113"/>
      <c r="M22" s="106"/>
      <c r="N22" s="83"/>
      <c r="O22" s="75"/>
      <c r="P22" s="75"/>
      <c r="Q22" s="75"/>
      <c r="R22" s="79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>
      <c r="A23" s="101" t="s">
        <v>30</v>
      </c>
      <c r="B23" s="104"/>
      <c r="C23" s="104"/>
      <c r="D23" s="104"/>
      <c r="E23" s="104"/>
      <c r="F23" s="104"/>
      <c r="G23" s="104"/>
      <c r="H23" s="104"/>
      <c r="I23" s="104"/>
      <c r="J23" s="105"/>
      <c r="K23" s="106"/>
      <c r="L23" s="107"/>
      <c r="M23" s="99"/>
      <c r="N23" s="100"/>
      <c r="O23" s="75"/>
      <c r="P23" s="75"/>
      <c r="Q23" s="75"/>
      <c r="R23" s="79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>
      <c r="A24" s="101" t="s">
        <v>31</v>
      </c>
      <c r="B24" s="104"/>
      <c r="C24" s="104"/>
      <c r="D24" s="104"/>
      <c r="E24" s="104"/>
      <c r="F24" s="104"/>
      <c r="G24" s="104"/>
      <c r="H24" s="104"/>
      <c r="I24" s="104"/>
      <c r="J24" s="105"/>
      <c r="K24" s="106"/>
      <c r="L24" s="107"/>
      <c r="M24" s="105"/>
      <c r="N24" s="108"/>
      <c r="O24" s="75"/>
      <c r="P24" s="75"/>
      <c r="Q24" s="75"/>
      <c r="R24" s="79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>
      <c r="A25" s="101" t="s">
        <v>32</v>
      </c>
      <c r="B25" s="48">
        <v>100.0</v>
      </c>
      <c r="C25" s="48">
        <v>100.0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108"/>
      <c r="O25" s="75"/>
      <c r="P25" s="75"/>
      <c r="Q25" s="75"/>
      <c r="R25" s="79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>
      <c r="A26" s="101" t="s">
        <v>33</v>
      </c>
      <c r="B26" s="104"/>
      <c r="C26" s="104"/>
      <c r="D26" s="104"/>
      <c r="E26" s="104"/>
      <c r="F26" s="104"/>
      <c r="G26" s="104"/>
      <c r="H26" s="104"/>
      <c r="I26" s="104"/>
      <c r="J26" s="104"/>
      <c r="K26" s="98"/>
      <c r="L26" s="104"/>
      <c r="M26" s="105"/>
      <c r="N26" s="108"/>
      <c r="O26" s="75"/>
      <c r="P26" s="75"/>
      <c r="Q26" s="75"/>
      <c r="R26" s="79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>
      <c r="A27" s="84" t="s">
        <v>34</v>
      </c>
      <c r="B27" s="110">
        <v>125.7</v>
      </c>
      <c r="C27" s="110">
        <v>95.0</v>
      </c>
      <c r="D27" s="110"/>
      <c r="E27" s="110"/>
      <c r="F27" s="110"/>
      <c r="G27" s="110"/>
      <c r="H27" s="110"/>
      <c r="I27" s="110"/>
      <c r="J27" s="114"/>
      <c r="K27" s="106"/>
      <c r="L27" s="115"/>
      <c r="M27" s="114"/>
      <c r="N27" s="111"/>
      <c r="O27" s="75"/>
      <c r="P27" s="75"/>
      <c r="Q27" s="75"/>
      <c r="R27" s="79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>
      <c r="A28" s="87" t="s">
        <v>35</v>
      </c>
      <c r="B28" s="96">
        <f t="shared" ref="B28:M28" si="4">SUM(B16:B27)</f>
        <v>26771.96</v>
      </c>
      <c r="C28" s="96">
        <f t="shared" si="4"/>
        <v>16352.54</v>
      </c>
      <c r="D28" s="96">
        <f t="shared" si="4"/>
        <v>0</v>
      </c>
      <c r="E28" s="96">
        <f t="shared" si="4"/>
        <v>0</v>
      </c>
      <c r="F28" s="96">
        <f t="shared" si="4"/>
        <v>0</v>
      </c>
      <c r="G28" s="96">
        <f t="shared" si="4"/>
        <v>0</v>
      </c>
      <c r="H28" s="96">
        <f t="shared" si="4"/>
        <v>0</v>
      </c>
      <c r="I28" s="96">
        <f t="shared" si="4"/>
        <v>0</v>
      </c>
      <c r="J28" s="96">
        <f t="shared" si="4"/>
        <v>0</v>
      </c>
      <c r="K28" s="96">
        <f t="shared" si="4"/>
        <v>0</v>
      </c>
      <c r="L28" s="96">
        <f t="shared" si="4"/>
        <v>0</v>
      </c>
      <c r="M28" s="96">
        <f t="shared" si="4"/>
        <v>0</v>
      </c>
      <c r="N28" s="83">
        <f>SUM(B28:M28)</f>
        <v>43124.5</v>
      </c>
      <c r="O28" s="75"/>
      <c r="P28" s="75"/>
      <c r="Q28" s="75"/>
      <c r="R28" s="79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>
      <c r="A29" s="116"/>
      <c r="B29" s="116"/>
      <c r="C29" s="116"/>
      <c r="D29" s="117"/>
      <c r="E29" s="118"/>
      <c r="F29" s="118"/>
      <c r="G29" s="118"/>
      <c r="H29" s="118"/>
      <c r="I29" s="118"/>
      <c r="J29" s="119"/>
      <c r="K29" s="116"/>
      <c r="L29" s="116"/>
      <c r="M29" s="116"/>
      <c r="N29" s="120"/>
      <c r="O29" s="75"/>
      <c r="P29" s="75"/>
      <c r="Q29" s="75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>
      <c r="A30" s="76" t="s">
        <v>36</v>
      </c>
      <c r="B30" s="77" t="s">
        <v>2</v>
      </c>
      <c r="C30" s="77" t="s">
        <v>3</v>
      </c>
      <c r="D30" s="77" t="s">
        <v>4</v>
      </c>
      <c r="E30" s="77" t="s">
        <v>5</v>
      </c>
      <c r="F30" s="77" t="s">
        <v>6</v>
      </c>
      <c r="G30" s="77" t="s">
        <v>7</v>
      </c>
      <c r="H30" s="77" t="s">
        <v>8</v>
      </c>
      <c r="I30" s="77" t="s">
        <v>9</v>
      </c>
      <c r="J30" s="77" t="s">
        <v>10</v>
      </c>
      <c r="K30" s="77" t="s">
        <v>11</v>
      </c>
      <c r="L30" s="77" t="s">
        <v>12</v>
      </c>
      <c r="M30" s="77" t="s">
        <v>13</v>
      </c>
      <c r="N30" s="78"/>
      <c r="O30" s="75"/>
      <c r="P30" s="75"/>
      <c r="Q30" s="75"/>
      <c r="R30" s="79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>
      <c r="A31" s="87" t="s">
        <v>38</v>
      </c>
      <c r="B31" s="96">
        <f t="shared" ref="B31:M31" si="5">B7-B11-B28</f>
        <v>14278.02</v>
      </c>
      <c r="C31" s="96">
        <f t="shared" si="5"/>
        <v>10544.06</v>
      </c>
      <c r="D31" s="96">
        <f t="shared" si="5"/>
        <v>0</v>
      </c>
      <c r="E31" s="96">
        <f t="shared" si="5"/>
        <v>0</v>
      </c>
      <c r="F31" s="96">
        <f t="shared" si="5"/>
        <v>0</v>
      </c>
      <c r="G31" s="96">
        <f t="shared" si="5"/>
        <v>0</v>
      </c>
      <c r="H31" s="96">
        <f t="shared" si="5"/>
        <v>0</v>
      </c>
      <c r="I31" s="96">
        <f t="shared" si="5"/>
        <v>0</v>
      </c>
      <c r="J31" s="96">
        <f t="shared" si="5"/>
        <v>0</v>
      </c>
      <c r="K31" s="96">
        <f t="shared" si="5"/>
        <v>0</v>
      </c>
      <c r="L31" s="96">
        <f t="shared" si="5"/>
        <v>0</v>
      </c>
      <c r="M31" s="96">
        <f t="shared" si="5"/>
        <v>0</v>
      </c>
      <c r="N31" s="83">
        <f>SUM(B31:M31)</f>
        <v>24822.08</v>
      </c>
      <c r="O31" s="75"/>
      <c r="P31" s="75"/>
      <c r="Q31" s="75"/>
      <c r="R31" s="79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>
      <c r="A32" s="89"/>
      <c r="B32" s="121"/>
      <c r="C32" s="121"/>
      <c r="D32" s="121"/>
      <c r="E32" s="121"/>
      <c r="F32" s="121"/>
      <c r="G32" s="121"/>
      <c r="H32" s="121"/>
      <c r="I32" s="121"/>
      <c r="J32" s="136"/>
      <c r="K32" s="136"/>
      <c r="L32" s="136"/>
      <c r="M32" s="136"/>
      <c r="N32" s="121"/>
      <c r="O32" s="75"/>
      <c r="P32" s="75"/>
      <c r="Q32" s="75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>
      <c r="A33" s="122"/>
      <c r="B33" s="123"/>
      <c r="C33" s="124"/>
      <c r="D33" s="124"/>
      <c r="E33" s="124"/>
      <c r="F33" s="124"/>
      <c r="G33" s="124"/>
      <c r="H33" s="124"/>
      <c r="I33" s="125"/>
      <c r="J33" s="125"/>
      <c r="K33" s="125"/>
      <c r="L33" s="125"/>
      <c r="M33" s="125"/>
      <c r="N33" s="72"/>
      <c r="O33" s="125"/>
      <c r="P33" s="125"/>
      <c r="Q33" s="125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>
      <c r="A34" s="122"/>
      <c r="B34" s="123"/>
      <c r="C34" s="126"/>
      <c r="D34" s="126"/>
      <c r="E34" s="126"/>
      <c r="F34" s="126"/>
      <c r="G34" s="126"/>
      <c r="H34" s="126"/>
      <c r="I34" s="125"/>
      <c r="J34" s="125"/>
      <c r="K34" s="125"/>
      <c r="L34" s="125"/>
      <c r="M34" s="125"/>
      <c r="N34" s="125"/>
      <c r="O34" s="125"/>
      <c r="P34" s="125"/>
      <c r="Q34" s="125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>
      <c r="A35" s="127"/>
      <c r="B35" s="127"/>
      <c r="C35" s="127"/>
      <c r="D35" s="127"/>
      <c r="E35" s="127"/>
      <c r="F35" s="127"/>
      <c r="G35" s="127"/>
      <c r="H35" s="127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>
      <c r="A37" s="128" t="s">
        <v>39</v>
      </c>
      <c r="B37" s="67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>
      <c r="A38" s="129"/>
      <c r="B38" s="130"/>
      <c r="C38" s="124"/>
      <c r="D38" s="124"/>
      <c r="E38" s="124"/>
      <c r="F38" s="124"/>
      <c r="G38" s="124"/>
      <c r="H38" s="124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>
      <c r="A39" s="131"/>
      <c r="B39" s="130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>
      <c r="A40" s="131"/>
      <c r="B40" s="130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>
      <c r="A41" s="131"/>
      <c r="B41" s="130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>
      <c r="A42" s="131"/>
      <c r="B42" s="130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>
      <c r="A43" s="72"/>
      <c r="B43" s="13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>
      <c r="A47" s="73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>
      <c r="A48" s="117"/>
      <c r="B48" s="13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>
      <c r="A49" s="117"/>
      <c r="B49" s="133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>
      <c r="A50" s="116"/>
      <c r="B50" s="73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>
      <c r="A51" s="117"/>
      <c r="B51" s="94"/>
      <c r="C51" s="79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>
      <c r="A52" s="117"/>
      <c r="B52" s="134"/>
      <c r="C52" s="79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>
      <c r="A53" s="89"/>
      <c r="B53" s="89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13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13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13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13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13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13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13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13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13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13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13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13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13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13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13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13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13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13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13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13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13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13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13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13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13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13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13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13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13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13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13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13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13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13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13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13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13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13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13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13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13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13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13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13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13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13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13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13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13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13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13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13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13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13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13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13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13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13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13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13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13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13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13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13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13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13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13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13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13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13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13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13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13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13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13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13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13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13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13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13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13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13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13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13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13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13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13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13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13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13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13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13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13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13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13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13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13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13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13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13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13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13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13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13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13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13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13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13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13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13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13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13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13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13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13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13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13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13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13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13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13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13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13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13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13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13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13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13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13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13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13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13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13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13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13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13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13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13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13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13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13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13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13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13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13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13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13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13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13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13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13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13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13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13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13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13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13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13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13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13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13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13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13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13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13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13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13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13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13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13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13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13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13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13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13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13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13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13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13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13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13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13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13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13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13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13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13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13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13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13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13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13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13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13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13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13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13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13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13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13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13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13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13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13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13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13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13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13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13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13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13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13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13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13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13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13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13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13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13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13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13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13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13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13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13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13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13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13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13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13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13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13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13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13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13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13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13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13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13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13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13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13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13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13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13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13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13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13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13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13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13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13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13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13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13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13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13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13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13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13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13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13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13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13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13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13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13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13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13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13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13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13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13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13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13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13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13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13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13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13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13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13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13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13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13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13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13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13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13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13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13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13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13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13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13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13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13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13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13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13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13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13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13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13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13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13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13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13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13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13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13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13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13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13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13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13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13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13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13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13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13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13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13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13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13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13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13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13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13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13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13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13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13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13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13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13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13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13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13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13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13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13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13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13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13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13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13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13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13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13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13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13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13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13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13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13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13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13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13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13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13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13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13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13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13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13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13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13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13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13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13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13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13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13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13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13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13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13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13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13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13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13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13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13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13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13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13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13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13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13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13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13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13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13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13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13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13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13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13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13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13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13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13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13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13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13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13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13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13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13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13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13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13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13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13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13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13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13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13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13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13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13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13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13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13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13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13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13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13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13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13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13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13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13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13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13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13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13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13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13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13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13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13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13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13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13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13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13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13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13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13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13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13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13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13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13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13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13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13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13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13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13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13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13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13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13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13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13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13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13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13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13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13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13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13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13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13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13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13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13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13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13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13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13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13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13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13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13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13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13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13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13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13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13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13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13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13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13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13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13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13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13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13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13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13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13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13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13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13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13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13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13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13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13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13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13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13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13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13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13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13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13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13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13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13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13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13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13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13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13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13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13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13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13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13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13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13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13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13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13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13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13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13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13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13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13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13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13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13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13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13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13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13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13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13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13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13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13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13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13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13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13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13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13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13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13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13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13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13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13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13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13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13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13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13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13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13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13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13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13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13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13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13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13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13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13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13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13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13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13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13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13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13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13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13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13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13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13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13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13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13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13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13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13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13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13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13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13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13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13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13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13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13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13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13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13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13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13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13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13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13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13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13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13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13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13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13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13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13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13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13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13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13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13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13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13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13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13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13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13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13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13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13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13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13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13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13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13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13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13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13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13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13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13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13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13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13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13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13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13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13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13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13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13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13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13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13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13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13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13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13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13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13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13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13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13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13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13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13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13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13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13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13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13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13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13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13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13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13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13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13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13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13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13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13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13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13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13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13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13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13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13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13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13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13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13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13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13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13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13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13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13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13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13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13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13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13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13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13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13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13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13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13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13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13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13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13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13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13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13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13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13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13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13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13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13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13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13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13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13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13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13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13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13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13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13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13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13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13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13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13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13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13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13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13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13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13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13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13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13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  <c r="AA1002" s="75"/>
      <c r="AB1002" s="75"/>
      <c r="AC1002" s="75"/>
    </row>
    <row r="1003">
      <c r="A1003" s="75"/>
      <c r="B1003" s="75"/>
      <c r="C1003" s="75"/>
      <c r="D1003" s="75"/>
      <c r="E1003" s="75"/>
      <c r="F1003" s="75"/>
      <c r="G1003" s="75"/>
      <c r="H1003" s="75"/>
      <c r="I1003" s="75"/>
      <c r="J1003" s="75"/>
      <c r="K1003" s="75"/>
      <c r="L1003" s="75"/>
      <c r="M1003" s="75"/>
      <c r="N1003" s="13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  <c r="AA1003" s="75"/>
      <c r="AB1003" s="75"/>
      <c r="AC1003" s="75"/>
    </row>
  </sheetData>
  <mergeCells count="1">
    <mergeCell ref="A37:B3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